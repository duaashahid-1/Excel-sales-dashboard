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3"/>
  <workbookPr hidePivotFieldList="1" defaultThemeVersion="166925"/>
  <mc:AlternateContent xmlns:mc="http://schemas.openxmlformats.org/markup-compatibility/2006">
    <mc:Choice Requires="x15">
      <x15ac:absPath xmlns:x15ac="http://schemas.microsoft.com/office/spreadsheetml/2010/11/ac" url="https://d.docs.live.net/10fbe74f71d55791/Documents/"/>
    </mc:Choice>
  </mc:AlternateContent>
  <xr:revisionPtr revIDLastSave="8" documentId="8_{009E4A97-D4A2-481D-AF7B-57849F663750}" xr6:coauthVersionLast="47" xr6:coauthVersionMax="47" xr10:uidLastSave="{C24F4581-EF8F-4DEF-B97C-00DC675EA19F}"/>
  <bookViews>
    <workbookView xWindow="-120" yWindow="-120" windowWidth="24240" windowHeight="13140" activeTab="2" xr2:uid="{E23055DD-A0CD-424E-A443-935BA03355C6}"/>
  </bookViews>
  <sheets>
    <sheet name="Pivot Tables" sheetId="2" r:id="rId1"/>
    <sheet name="DASHBOARD" sheetId="3" r:id="rId2"/>
    <sheet name="DATA" sheetId="1" r:id="rId3"/>
  </sheets>
  <definedNames>
    <definedName name="Slicer_Category">#N/A</definedName>
    <definedName name="Slicer_Region">#N/A</definedName>
  </definedNames>
  <calcPr calcId="191029"/>
  <pivotCaches>
    <pivotCache cacheId="3"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8" i="3" l="1"/>
  <c r="G21" i="3"/>
  <c r="T12" i="3"/>
  <c r="T5" i="3"/>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alcChain>
</file>

<file path=xl/sharedStrings.xml><?xml version="1.0" encoding="utf-8"?>
<sst xmlns="http://schemas.openxmlformats.org/spreadsheetml/2006/main" count="429" uniqueCount="49">
  <si>
    <t>Date</t>
  </si>
  <si>
    <t>Product</t>
  </si>
  <si>
    <t>Category</t>
  </si>
  <si>
    <t>Region</t>
  </si>
  <si>
    <t>Sales</t>
  </si>
  <si>
    <t>Quantity</t>
  </si>
  <si>
    <t>Profit</t>
  </si>
  <si>
    <t>Laptop</t>
  </si>
  <si>
    <t>Electronics</t>
  </si>
  <si>
    <t>North</t>
  </si>
  <si>
    <t>Chair</t>
  </si>
  <si>
    <t>Furniture</t>
  </si>
  <si>
    <t>South</t>
  </si>
  <si>
    <t>Phone</t>
  </si>
  <si>
    <t>East</t>
  </si>
  <si>
    <t>Sofa</t>
  </si>
  <si>
    <t>West</t>
  </si>
  <si>
    <t>Monitor</t>
  </si>
  <si>
    <t>Table</t>
  </si>
  <si>
    <t>Headphones</t>
  </si>
  <si>
    <t>Months 2026</t>
  </si>
  <si>
    <t>Grand Total</t>
  </si>
  <si>
    <t>Sum of Sales</t>
  </si>
  <si>
    <t>Sum of Profit</t>
  </si>
  <si>
    <t>Sum of Quantity</t>
  </si>
  <si>
    <t>Jan</t>
  </si>
  <si>
    <t>Feb</t>
  </si>
  <si>
    <t>Mar</t>
  </si>
  <si>
    <t>Apr</t>
  </si>
  <si>
    <t>May</t>
  </si>
  <si>
    <t>Jun</t>
  </si>
  <si>
    <t>Jul</t>
  </si>
  <si>
    <t>Aug</t>
  </si>
  <si>
    <t>Sep</t>
  </si>
  <si>
    <t>Oct</t>
  </si>
  <si>
    <t>Nov</t>
  </si>
  <si>
    <t>Dec</t>
  </si>
  <si>
    <t>Total Sales by Category</t>
  </si>
  <si>
    <t>Total Profit By Region</t>
  </si>
  <si>
    <t>Quantity Sold Per Unit</t>
  </si>
  <si>
    <t>Monthly Sales Trend</t>
  </si>
  <si>
    <t>Monthly Sales &amp; Profit</t>
  </si>
  <si>
    <t>Months</t>
  </si>
  <si>
    <t>DASHBOARD</t>
  </si>
  <si>
    <t>Sum of Profit Margin</t>
  </si>
  <si>
    <t>TOTAL QUANTITY</t>
  </si>
  <si>
    <t>PROFIT MARGIN</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</si>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</sst>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x14ac:knownFonts="1">
    <font>
      <sz val="11"/>
      <color theme="1"/>
      <name val="Calibri"/>
      <family val="2"/>
      <scheme val="minor"/>
    </font>
    <font>
      <sz val="14"/>
      <color theme="0"/>
      <name val="Calibri"/>
      <family val="2"/>
      <scheme val="minor"/>
    </font>
    <font>
      <b/>
      <i/>
      <sz val="14"/>
      <color theme="0"/>
      <name val="Calibri"/>
      <family val="2"/>
      <scheme val="minor"/>
    </font>
    <font>
      <b/>
      <i/>
      <sz val="48"/>
      <color theme="0"/>
      <name val="Calibri"/>
      <family val="2"/>
      <scheme val="minor"/>
    </font>
    <font>
      <b/>
      <i/>
      <sz val="24"/>
      <color theme="0"/>
      <name val="Calibri"/>
      <family val="2"/>
      <scheme val="minor"/>
    </font>
    <font>
      <b/>
      <i/>
      <sz val="20"/>
      <color theme="0"/>
      <name val="Calibri"/>
      <family val="2"/>
      <scheme val="minor"/>
    </font>
    <font>
      <b/>
      <i/>
      <sz val="36"/>
      <color theme="4" tint="-0.499984740745262"/>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26">
    <xf numFmtId="0" fontId="0" fillId="0" borderId="0" xfId="0"/>
    <xf numFmtId="14" fontId="0" fillId="0" borderId="0" xfId="0" applyNumberFormat="1"/>
    <xf numFmtId="164" fontId="0" fillId="0" borderId="0" xfId="0" applyNumberFormat="1"/>
    <xf numFmtId="2" fontId="0" fillId="0" borderId="0" xfId="0" applyNumberFormat="1"/>
    <xf numFmtId="1"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1" fontId="0" fillId="0" borderId="1" xfId="0" applyNumberFormat="1" applyBorder="1"/>
    <xf numFmtId="0" fontId="3" fillId="3" borderId="0" xfId="0" applyFont="1" applyFill="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10" fontId="0" fillId="0" borderId="1" xfId="0" applyNumberFormat="1" applyBorder="1"/>
    <xf numFmtId="10" fontId="0" fillId="0" borderId="0" xfId="0" applyNumberFormat="1"/>
    <xf numFmtId="0" fontId="5" fillId="3" borderId="0" xfId="0" applyFont="1" applyFill="1" applyAlignment="1">
      <alignment horizontal="center" vertical="center"/>
    </xf>
    <xf numFmtId="10" fontId="6" fillId="2" borderId="0" xfId="0" applyNumberFormat="1" applyFont="1" applyFill="1" applyAlignment="1">
      <alignment horizontal="center" vertical="center"/>
    </xf>
    <xf numFmtId="1" fontId="6" fillId="2" borderId="0" xfId="0" applyNumberFormat="1" applyFont="1" applyFill="1" applyAlignment="1">
      <alignment horizontal="center" vertical="center"/>
    </xf>
    <xf numFmtId="164" fontId="6" fillId="2" borderId="0" xfId="0" applyNumberFormat="1" applyFont="1" applyFill="1" applyAlignment="1">
      <alignment horizontal="center" vertical="center"/>
    </xf>
    <xf numFmtId="0" fontId="4" fillId="3" borderId="0" xfId="0" applyFont="1" applyFill="1" applyAlignment="1">
      <alignment horizontal="center" vertical="center"/>
    </xf>
    <xf numFmtId="164" fontId="0" fillId="4" borderId="0" xfId="0" applyNumberFormat="1" applyFill="1"/>
    <xf numFmtId="0" fontId="0" fillId="4" borderId="0" xfId="0" applyFill="1"/>
  </cellXfs>
  <cellStyles count="1">
    <cellStyle name="Normal" xfId="0" builtinId="0"/>
  </cellStyles>
  <dxfs count="15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164" formatCode="&quot;$&quot;#,##0"/>
    </dxf>
    <dxf>
      <numFmt numFmtId="1" formatCode="0"/>
    </dxf>
    <dxf>
      <numFmt numFmtId="164" formatCode="&quot;$&quot;#,##0"/>
    </dxf>
    <dxf>
      <numFmt numFmtId="19" formatCode="m/d/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 Complete.xlsx]Pivot Tables!PivotTable1</c:name>
    <c:fmtId val="4"/>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t>Sales</a:t>
            </a:r>
            <a:r>
              <a:rPr lang="en-US" b="1" i="1" u="sng" baseline="0"/>
              <a:t> per Category</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2"/>
                <c:pt idx="0">
                  <c:v>Electronics</c:v>
                </c:pt>
                <c:pt idx="1">
                  <c:v>Furniture</c:v>
                </c:pt>
              </c:strCache>
            </c:strRef>
          </c:cat>
          <c:val>
            <c:numRef>
              <c:f>'Pivot Tables'!$B$4:$B$6</c:f>
              <c:numCache>
                <c:formatCode>"$"#,##0</c:formatCode>
                <c:ptCount val="2"/>
                <c:pt idx="0">
                  <c:v>43610</c:v>
                </c:pt>
                <c:pt idx="1">
                  <c:v>18220</c:v>
                </c:pt>
              </c:numCache>
            </c:numRef>
          </c:val>
          <c:extLst>
            <c:ext xmlns:c16="http://schemas.microsoft.com/office/drawing/2014/chart" uri="{C3380CC4-5D6E-409C-BE32-E72D297353CC}">
              <c16:uniqueId val="{00000000-C937-45DF-86F2-6764E8FE24DB}"/>
            </c:ext>
          </c:extLst>
        </c:ser>
        <c:dLbls>
          <c:showLegendKey val="0"/>
          <c:showVal val="0"/>
          <c:showCatName val="0"/>
          <c:showSerName val="0"/>
          <c:showPercent val="0"/>
          <c:showBubbleSize val="0"/>
        </c:dLbls>
        <c:gapWidth val="219"/>
        <c:overlap val="-27"/>
        <c:axId val="2039760431"/>
        <c:axId val="2039761871"/>
      </c:barChart>
      <c:catAx>
        <c:axId val="203976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39761871"/>
        <c:crosses val="autoZero"/>
        <c:auto val="1"/>
        <c:lblAlgn val="ctr"/>
        <c:lblOffset val="100"/>
        <c:noMultiLvlLbl val="0"/>
      </c:catAx>
      <c:valAx>
        <c:axId val="203976187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6043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 Complete.xlsx]Pivot Tables!PivotTable2</c:name>
    <c:fmtId val="5"/>
  </c:pivotSource>
  <c:chart>
    <c:title>
      <c:tx>
        <c:rich>
          <a:bodyPr rot="0" spcFirstLastPara="1" vertOverflow="ellipsis" vert="horz" wrap="square" anchor="ctr" anchorCtr="1"/>
          <a:lstStyle/>
          <a:p>
            <a:pPr algn="ctr" rtl="0">
              <a:defRPr lang="en-US" sz="1400" b="1" i="1" u="sng" strike="noStrike" kern="1200" spc="0" baseline="0">
                <a:solidFill>
                  <a:sysClr val="windowText" lastClr="000000">
                    <a:lumMod val="65000"/>
                    <a:lumOff val="35000"/>
                  </a:sysClr>
                </a:solidFill>
                <a:latin typeface="+mn-lt"/>
                <a:ea typeface="+mn-ea"/>
                <a:cs typeface="+mn-cs"/>
              </a:defRPr>
            </a:pPr>
            <a:r>
              <a:rPr lang="en-US" sz="1400" b="1" i="1" u="sng" strike="noStrike" kern="1200" spc="0" baseline="0">
                <a:solidFill>
                  <a:sysClr val="windowText" lastClr="000000">
                    <a:lumMod val="65000"/>
                    <a:lumOff val="35000"/>
                  </a:sysClr>
                </a:solidFill>
                <a:latin typeface="+mn-lt"/>
                <a:ea typeface="+mn-ea"/>
                <a:cs typeface="+mn-cs"/>
              </a:rPr>
              <a:t>Distribution by Region</a:t>
            </a:r>
          </a:p>
        </c:rich>
      </c:tx>
      <c:overlay val="0"/>
      <c:spPr>
        <a:noFill/>
        <a:ln>
          <a:noFill/>
        </a:ln>
        <a:effectLst/>
      </c:spPr>
      <c:txPr>
        <a:bodyPr rot="0" spcFirstLastPara="1" vertOverflow="ellipsis" vert="horz" wrap="square" anchor="ctr" anchorCtr="1"/>
        <a:lstStyle/>
        <a:p>
          <a:pPr algn="ctr" rtl="0">
            <a:defRPr lang="en-US" sz="1400" b="1" i="1"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43637460118238"/>
              <c:y val="-3.3085050723898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996768712333903"/>
              <c:y val="2.2056700482598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996768712333906"/>
              <c:y val="7.1684276568446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90506207902596"/>
              <c:y val="-2.2056700482598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15566005060857"/>
          <c:y val="0.28859586089516343"/>
          <c:w val="0.40282503371867018"/>
          <c:h val="0.63971986253639035"/>
        </c:manualLayout>
      </c:layout>
      <c:doughnutChart>
        <c:varyColors val="1"/>
        <c:ser>
          <c:idx val="0"/>
          <c:order val="0"/>
          <c:tx>
            <c:strRef>
              <c:f>'Pivot 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4B-45D7-9E0D-21D8009F7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4B-45D7-9E0D-21D8009F7C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4B-45D7-9E0D-21D8009F7C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4B-45D7-9E0D-21D8009F7CC3}"/>
              </c:ext>
            </c:extLst>
          </c:dPt>
          <c:dLbls>
            <c:dLbl>
              <c:idx val="0"/>
              <c:layout>
                <c:manualLayout>
                  <c:x val="0.11643637460118238"/>
                  <c:y val="-3.3085050723898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4B-45D7-9E0D-21D8009F7CC3}"/>
                </c:ext>
              </c:extLst>
            </c:dLbl>
            <c:dLbl>
              <c:idx val="1"/>
              <c:layout>
                <c:manualLayout>
                  <c:x val="0.10996768712333903"/>
                  <c:y val="2.20567004825988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4B-45D7-9E0D-21D8009F7CC3}"/>
                </c:ext>
              </c:extLst>
            </c:dLbl>
            <c:dLbl>
              <c:idx val="2"/>
              <c:layout>
                <c:manualLayout>
                  <c:x val="-0.10996768712333906"/>
                  <c:y val="7.1684276568446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4B-45D7-9E0D-21D8009F7CC3}"/>
                </c:ext>
              </c:extLst>
            </c:dLbl>
            <c:dLbl>
              <c:idx val="3"/>
              <c:layout>
                <c:manualLayout>
                  <c:x val="-0.12290506207902596"/>
                  <c:y val="-2.205670048259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4B-45D7-9E0D-21D8009F7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Tables'!$A$12:$A$16</c:f>
              <c:strCache>
                <c:ptCount val="4"/>
                <c:pt idx="0">
                  <c:v>East</c:v>
                </c:pt>
                <c:pt idx="1">
                  <c:v>North</c:v>
                </c:pt>
                <c:pt idx="2">
                  <c:v>South</c:v>
                </c:pt>
                <c:pt idx="3">
                  <c:v>West</c:v>
                </c:pt>
              </c:strCache>
            </c:strRef>
          </c:cat>
          <c:val>
            <c:numRef>
              <c:f>'Pivot Tables'!$B$12:$B$16</c:f>
              <c:numCache>
                <c:formatCode>"$"#,##0</c:formatCode>
                <c:ptCount val="4"/>
                <c:pt idx="0">
                  <c:v>3722</c:v>
                </c:pt>
                <c:pt idx="1">
                  <c:v>3784</c:v>
                </c:pt>
                <c:pt idx="2">
                  <c:v>3546</c:v>
                </c:pt>
                <c:pt idx="3">
                  <c:v>3650</c:v>
                </c:pt>
              </c:numCache>
            </c:numRef>
          </c:val>
          <c:extLst>
            <c:ext xmlns:c16="http://schemas.microsoft.com/office/drawing/2014/chart" uri="{C3380CC4-5D6E-409C-BE32-E72D297353CC}">
              <c16:uniqueId val="{00000008-584B-45D7-9E0D-21D8009F7C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744937695435757"/>
          <c:y val="3.1319143107755423E-2"/>
          <c:w val="0.19317551360504231"/>
          <c:h val="0.492146355572082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 Complete.xlsx]Pivot Tables!PivotTable4</c:name>
    <c:fmtId val="24"/>
  </c:pivotSource>
  <c:chart>
    <c:title>
      <c:tx>
        <c:rich>
          <a:bodyPr rot="0" spcFirstLastPara="1" vertOverflow="ellipsis" vert="horz" wrap="square" anchor="ctr" anchorCtr="1"/>
          <a:lstStyle/>
          <a:p>
            <a:pPr algn="ctr" rtl="0">
              <a:defRPr lang="en-US" sz="1400" b="1" i="1" u="sng" strike="noStrike" kern="1200" spc="0" baseline="0">
                <a:solidFill>
                  <a:sysClr val="windowText" lastClr="000000">
                    <a:lumMod val="65000"/>
                    <a:lumOff val="35000"/>
                  </a:sysClr>
                </a:solidFill>
                <a:latin typeface="+mn-lt"/>
                <a:ea typeface="+mn-ea"/>
                <a:cs typeface="+mn-cs"/>
              </a:defRPr>
            </a:pPr>
            <a:r>
              <a:rPr lang="en-US" sz="1400" b="1" i="1" u="sng" strike="noStrike" kern="1200" spc="0" baseline="0">
                <a:solidFill>
                  <a:sysClr val="windowText" lastClr="000000">
                    <a:lumMod val="65000"/>
                    <a:lumOff val="35000"/>
                  </a:sysClr>
                </a:solidFill>
                <a:latin typeface="+mn-lt"/>
                <a:ea typeface="+mn-ea"/>
                <a:cs typeface="+mn-cs"/>
              </a:rPr>
              <a:t>Monthly Sales Trend</a:t>
            </a:r>
          </a:p>
        </c:rich>
      </c:tx>
      <c:layout>
        <c:manualLayout>
          <c:xMode val="edge"/>
          <c:yMode val="edge"/>
          <c:x val="0.4095425136391358"/>
          <c:y val="8.6879738770657147E-2"/>
        </c:manualLayout>
      </c:layout>
      <c:overlay val="0"/>
      <c:spPr>
        <a:noFill/>
        <a:ln>
          <a:noFill/>
        </a:ln>
        <a:effectLst/>
      </c:spPr>
      <c:txPr>
        <a:bodyPr rot="0" spcFirstLastPara="1" vertOverflow="ellipsis" vert="horz" wrap="square" anchor="ctr" anchorCtr="1"/>
        <a:lstStyle/>
        <a:p>
          <a:pPr algn="ctr" rtl="0">
            <a:defRPr lang="en-US" sz="1400" b="1" i="1"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Tables'!$M$3</c:f>
              <c:strCache>
                <c:ptCount val="1"/>
                <c:pt idx="0">
                  <c:v>Total</c:v>
                </c:pt>
              </c:strCache>
            </c:strRef>
          </c:tx>
          <c:spPr>
            <a:ln w="28575" cap="rnd">
              <a:solidFill>
                <a:schemeClr val="accent1"/>
              </a:solidFill>
              <a:round/>
            </a:ln>
            <a:effectLst/>
          </c:spPr>
          <c:marker>
            <c:symbol val="none"/>
          </c:marker>
          <c:cat>
            <c:strRef>
              <c:f>'Pivot Tables'!$L$4:$L$16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Tables'!$M$4:$M$16</c:f>
              <c:numCache>
                <c:formatCode>"$"#,##0</c:formatCode>
                <c:ptCount val="12"/>
                <c:pt idx="0">
                  <c:v>11500</c:v>
                </c:pt>
                <c:pt idx="1">
                  <c:v>11350</c:v>
                </c:pt>
                <c:pt idx="2">
                  <c:v>12650</c:v>
                </c:pt>
                <c:pt idx="3">
                  <c:v>10160</c:v>
                </c:pt>
                <c:pt idx="4">
                  <c:v>1670</c:v>
                </c:pt>
                <c:pt idx="5">
                  <c:v>3510</c:v>
                </c:pt>
                <c:pt idx="6">
                  <c:v>1000</c:v>
                </c:pt>
                <c:pt idx="7">
                  <c:v>1940</c:v>
                </c:pt>
                <c:pt idx="8">
                  <c:v>2680</c:v>
                </c:pt>
                <c:pt idx="9">
                  <c:v>2250</c:v>
                </c:pt>
                <c:pt idx="10">
                  <c:v>1470</c:v>
                </c:pt>
                <c:pt idx="11">
                  <c:v>1650</c:v>
                </c:pt>
              </c:numCache>
            </c:numRef>
          </c:val>
          <c:smooth val="0"/>
          <c:extLst>
            <c:ext xmlns:c16="http://schemas.microsoft.com/office/drawing/2014/chart" uri="{C3380CC4-5D6E-409C-BE32-E72D297353CC}">
              <c16:uniqueId val="{00000000-E9C7-452B-B72A-2F1AB3C7A141}"/>
            </c:ext>
          </c:extLst>
        </c:ser>
        <c:dLbls>
          <c:showLegendKey val="0"/>
          <c:showVal val="0"/>
          <c:showCatName val="0"/>
          <c:showSerName val="0"/>
          <c:showPercent val="0"/>
          <c:showBubbleSize val="0"/>
        </c:dLbls>
        <c:smooth val="0"/>
        <c:axId val="2039729231"/>
        <c:axId val="2039723471"/>
      </c:lineChart>
      <c:catAx>
        <c:axId val="203972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23471"/>
        <c:crosses val="autoZero"/>
        <c:auto val="1"/>
        <c:lblAlgn val="ctr"/>
        <c:lblOffset val="100"/>
        <c:noMultiLvlLbl val="0"/>
      </c:catAx>
      <c:valAx>
        <c:axId val="203972347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2923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 Complete.xlsx]Pivot Tables!PivotTable5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05566976347774E-2"/>
          <c:y val="0.14722808941705359"/>
          <c:w val="0.89113775630171221"/>
          <c:h val="0.6471956984841043"/>
        </c:manualLayout>
      </c:layout>
      <c:barChart>
        <c:barDir val="col"/>
        <c:grouping val="clustered"/>
        <c:varyColors val="0"/>
        <c:ser>
          <c:idx val="0"/>
          <c:order val="0"/>
          <c:tx>
            <c:strRef>
              <c:f>'Pivot Tables'!$H$3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"$"#,##0</c:formatCode>
                <c:ptCount val="12"/>
                <c:pt idx="0">
                  <c:v>11500</c:v>
                </c:pt>
                <c:pt idx="1">
                  <c:v>11350</c:v>
                </c:pt>
                <c:pt idx="2">
                  <c:v>12650</c:v>
                </c:pt>
                <c:pt idx="3">
                  <c:v>10160</c:v>
                </c:pt>
                <c:pt idx="4">
                  <c:v>1670</c:v>
                </c:pt>
                <c:pt idx="5">
                  <c:v>3510</c:v>
                </c:pt>
                <c:pt idx="6">
                  <c:v>1000</c:v>
                </c:pt>
                <c:pt idx="7">
                  <c:v>1940</c:v>
                </c:pt>
                <c:pt idx="8">
                  <c:v>2680</c:v>
                </c:pt>
                <c:pt idx="9">
                  <c:v>2250</c:v>
                </c:pt>
                <c:pt idx="10">
                  <c:v>1470</c:v>
                </c:pt>
                <c:pt idx="11">
                  <c:v>1650</c:v>
                </c:pt>
              </c:numCache>
            </c:numRef>
          </c:val>
          <c:extLst>
            <c:ext xmlns:c16="http://schemas.microsoft.com/office/drawing/2014/chart" uri="{C3380CC4-5D6E-409C-BE32-E72D297353CC}">
              <c16:uniqueId val="{00000000-9BE4-4996-ABD0-F06244F88437}"/>
            </c:ext>
          </c:extLst>
        </c:ser>
        <c:dLbls>
          <c:showLegendKey val="0"/>
          <c:showVal val="0"/>
          <c:showCatName val="0"/>
          <c:showSerName val="0"/>
          <c:showPercent val="0"/>
          <c:showBubbleSize val="0"/>
        </c:dLbls>
        <c:gapWidth val="150"/>
        <c:axId val="931587232"/>
        <c:axId val="931593952"/>
      </c:barChart>
      <c:lineChart>
        <c:grouping val="standard"/>
        <c:varyColors val="0"/>
        <c:ser>
          <c:idx val="2"/>
          <c:order val="2"/>
          <c:tx>
            <c:strRef>
              <c:f>'Pivot Tables'!$J$3</c:f>
              <c:strCache>
                <c:ptCount val="1"/>
                <c:pt idx="0">
                  <c:v>Sum of Profit Margin</c:v>
                </c:pt>
              </c:strCache>
            </c:strRef>
          </c:tx>
          <c:spPr>
            <a:ln w="28575" cap="rnd">
              <a:solidFill>
                <a:schemeClr val="accent3"/>
              </a:solidFill>
              <a:round/>
            </a:ln>
            <a:effectLst/>
          </c:spPr>
          <c:marker>
            <c:symbol val="none"/>
          </c:marker>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Tables'!$J$4:$J$16</c:f>
              <c:numCache>
                <c:formatCode>0.00%</c:formatCode>
                <c:ptCount val="12"/>
                <c:pt idx="0">
                  <c:v>0.23817391304347826</c:v>
                </c:pt>
                <c:pt idx="1">
                  <c:v>0.23859030837004405</c:v>
                </c:pt>
                <c:pt idx="2">
                  <c:v>0.23849802371541501</c:v>
                </c:pt>
                <c:pt idx="3">
                  <c:v>0.23464566929133859</c:v>
                </c:pt>
                <c:pt idx="4">
                  <c:v>0.23952095808383234</c:v>
                </c:pt>
                <c:pt idx="5">
                  <c:v>0.24074074074074073</c:v>
                </c:pt>
                <c:pt idx="6">
                  <c:v>0.24</c:v>
                </c:pt>
                <c:pt idx="7">
                  <c:v>0.24484536082474226</c:v>
                </c:pt>
                <c:pt idx="8">
                  <c:v>0.23059701492537313</c:v>
                </c:pt>
                <c:pt idx="9">
                  <c:v>0.24</c:v>
                </c:pt>
                <c:pt idx="10">
                  <c:v>0.22789115646258504</c:v>
                </c:pt>
                <c:pt idx="11">
                  <c:v>0.24303030303030304</c:v>
                </c:pt>
              </c:numCache>
            </c:numRef>
          </c:val>
          <c:smooth val="0"/>
          <c:extLst>
            <c:ext xmlns:c16="http://schemas.microsoft.com/office/drawing/2014/chart" uri="{C3380CC4-5D6E-409C-BE32-E72D297353CC}">
              <c16:uniqueId val="{00000000-2F33-44CD-8B40-B85DA6AC02DA}"/>
            </c:ext>
          </c:extLst>
        </c:ser>
        <c:dLbls>
          <c:showLegendKey val="0"/>
          <c:showVal val="0"/>
          <c:showCatName val="0"/>
          <c:showSerName val="0"/>
          <c:showPercent val="0"/>
          <c:showBubbleSize val="0"/>
        </c:dLbls>
        <c:marker val="1"/>
        <c:smooth val="0"/>
        <c:axId val="2039712431"/>
        <c:axId val="2039725391"/>
      </c:lineChart>
      <c:lineChart>
        <c:grouping val="standard"/>
        <c:varyColors val="0"/>
        <c:ser>
          <c:idx val="1"/>
          <c:order val="1"/>
          <c:tx>
            <c:strRef>
              <c:f>'Pivot Tables'!$I$3</c:f>
              <c:strCache>
                <c:ptCount val="1"/>
                <c:pt idx="0">
                  <c:v>Sum of Profit</c:v>
                </c:pt>
              </c:strCache>
            </c:strRef>
          </c:tx>
          <c:spPr>
            <a:ln w="28575" cap="rnd">
              <a:solidFill>
                <a:schemeClr val="accent2"/>
              </a:solidFill>
              <a:round/>
            </a:ln>
            <a:effectLst/>
          </c:spPr>
          <c:marker>
            <c:symbol val="none"/>
          </c:marker>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Tables'!$I$4:$I$16</c:f>
              <c:numCache>
                <c:formatCode>"$"#,##0</c:formatCode>
                <c:ptCount val="12"/>
                <c:pt idx="0">
                  <c:v>2739</c:v>
                </c:pt>
                <c:pt idx="1">
                  <c:v>2708</c:v>
                </c:pt>
                <c:pt idx="2">
                  <c:v>3017</c:v>
                </c:pt>
                <c:pt idx="3">
                  <c:v>2384</c:v>
                </c:pt>
                <c:pt idx="4">
                  <c:v>400</c:v>
                </c:pt>
                <c:pt idx="5">
                  <c:v>845</c:v>
                </c:pt>
                <c:pt idx="6">
                  <c:v>240</c:v>
                </c:pt>
                <c:pt idx="7">
                  <c:v>475</c:v>
                </c:pt>
                <c:pt idx="8">
                  <c:v>618</c:v>
                </c:pt>
                <c:pt idx="9">
                  <c:v>540</c:v>
                </c:pt>
                <c:pt idx="10">
                  <c:v>335</c:v>
                </c:pt>
                <c:pt idx="11">
                  <c:v>401</c:v>
                </c:pt>
              </c:numCache>
            </c:numRef>
          </c:val>
          <c:smooth val="0"/>
          <c:extLst>
            <c:ext xmlns:c16="http://schemas.microsoft.com/office/drawing/2014/chart" uri="{C3380CC4-5D6E-409C-BE32-E72D297353CC}">
              <c16:uniqueId val="{00000001-9BE4-4996-ABD0-F06244F88437}"/>
            </c:ext>
          </c:extLst>
        </c:ser>
        <c:dLbls>
          <c:showLegendKey val="0"/>
          <c:showVal val="0"/>
          <c:showCatName val="0"/>
          <c:showSerName val="0"/>
          <c:showPercent val="0"/>
          <c:showBubbleSize val="0"/>
        </c:dLbls>
        <c:marker val="1"/>
        <c:smooth val="0"/>
        <c:axId val="931587232"/>
        <c:axId val="931593952"/>
      </c:lineChart>
      <c:catAx>
        <c:axId val="20397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25391"/>
        <c:crosses val="autoZero"/>
        <c:auto val="1"/>
        <c:lblAlgn val="ctr"/>
        <c:lblOffset val="100"/>
        <c:noMultiLvlLbl val="0"/>
      </c:catAx>
      <c:valAx>
        <c:axId val="2039725391"/>
        <c:scaling>
          <c:orientation val="minMax"/>
        </c:scaling>
        <c:delete val="1"/>
        <c:axPos val="l"/>
        <c:numFmt formatCode="0.00%" sourceLinked="1"/>
        <c:majorTickMark val="none"/>
        <c:minorTickMark val="none"/>
        <c:tickLblPos val="nextTo"/>
        <c:crossAx val="2039712431"/>
        <c:crosses val="autoZero"/>
        <c:crossBetween val="between"/>
      </c:valAx>
      <c:valAx>
        <c:axId val="931593952"/>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587232"/>
        <c:crosses val="max"/>
        <c:crossBetween val="between"/>
      </c:valAx>
      <c:catAx>
        <c:axId val="931587232"/>
        <c:scaling>
          <c:orientation val="minMax"/>
        </c:scaling>
        <c:delete val="1"/>
        <c:axPos val="b"/>
        <c:numFmt formatCode="General" sourceLinked="1"/>
        <c:majorTickMark val="out"/>
        <c:minorTickMark val="none"/>
        <c:tickLblPos val="nextTo"/>
        <c:crossAx val="931593952"/>
        <c:auto val="1"/>
        <c:lblAlgn val="ctr"/>
        <c:lblOffset val="100"/>
        <c:noMultiLvlLbl val="0"/>
      </c:cat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plotArea>
    <c:legend>
      <c:legendPos val="r"/>
      <c:layout>
        <c:manualLayout>
          <c:xMode val="edge"/>
          <c:yMode val="edge"/>
          <c:x val="0.63304017267143553"/>
          <c:y val="0.17548561600057061"/>
          <c:w val="0.26977584794777149"/>
          <c:h val="0.252212471649730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175172</xdr:rowOff>
    </xdr:from>
    <xdr:to>
      <xdr:col>6</xdr:col>
      <xdr:colOff>0</xdr:colOff>
      <xdr:row>29</xdr:row>
      <xdr:rowOff>179917</xdr:rowOff>
    </xdr:to>
    <xdr:graphicFrame macro="">
      <xdr:nvGraphicFramePr>
        <xdr:cNvPr id="3" name="Chart 2">
          <a:extLst>
            <a:ext uri="{FF2B5EF4-FFF2-40B4-BE49-F238E27FC236}">
              <a16:creationId xmlns:a16="http://schemas.microsoft.com/office/drawing/2014/main" id="{A9672E95-FEA5-405D-9C2C-204FCBF76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2582333</xdr:colOff>
      <xdr:row>0</xdr:row>
      <xdr:rowOff>9991</xdr:rowOff>
    </xdr:from>
    <xdr:to>
      <xdr:col>18</xdr:col>
      <xdr:colOff>613829</xdr:colOff>
      <xdr:row>16</xdr:row>
      <xdr:rowOff>84667</xdr:rowOff>
    </xdr:to>
    <xdr:graphicFrame macro="">
      <xdr:nvGraphicFramePr>
        <xdr:cNvPr id="5" name="Chart 4">
          <a:extLst>
            <a:ext uri="{FF2B5EF4-FFF2-40B4-BE49-F238E27FC236}">
              <a16:creationId xmlns:a16="http://schemas.microsoft.com/office/drawing/2014/main" id="{A0E87AF3-3414-4EA7-8ED4-0F847BA09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21167</xdr:colOff>
      <xdr:row>16</xdr:row>
      <xdr:rowOff>80577</xdr:rowOff>
    </xdr:from>
    <xdr:to>
      <xdr:col>22</xdr:col>
      <xdr:colOff>63500</xdr:colOff>
      <xdr:row>30</xdr:row>
      <xdr:rowOff>10585</xdr:rowOff>
    </xdr:to>
    <xdr:graphicFrame macro="">
      <xdr:nvGraphicFramePr>
        <xdr:cNvPr id="7" name="Chart 6">
          <a:extLst>
            <a:ext uri="{FF2B5EF4-FFF2-40B4-BE49-F238E27FC236}">
              <a16:creationId xmlns:a16="http://schemas.microsoft.com/office/drawing/2014/main" id="{05376B77-7814-4604-AFFA-D9325EF18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21168</xdr:colOff>
      <xdr:row>0</xdr:row>
      <xdr:rowOff>0</xdr:rowOff>
    </xdr:from>
    <xdr:to>
      <xdr:col>13</xdr:col>
      <xdr:colOff>2635251</xdr:colOff>
      <xdr:row>16</xdr:row>
      <xdr:rowOff>84666</xdr:rowOff>
    </xdr:to>
    <xdr:graphicFrame macro="">
      <xdr:nvGraphicFramePr>
        <xdr:cNvPr id="9" name="Chart 8">
          <a:extLst>
            <a:ext uri="{FF2B5EF4-FFF2-40B4-BE49-F238E27FC236}">
              <a16:creationId xmlns:a16="http://schemas.microsoft.com/office/drawing/2014/main" id="{5EAF8DE8-1180-4FF2-9AA5-4C8432967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32843</xdr:colOff>
      <xdr:row>0</xdr:row>
      <xdr:rowOff>10947</xdr:rowOff>
    </xdr:from>
    <xdr:to>
      <xdr:col>9</xdr:col>
      <xdr:colOff>21166</xdr:colOff>
      <xdr:row>6</xdr:row>
      <xdr:rowOff>63500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5F26E40-9057-4ACE-8C8B-A2EC48B206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11465" y="10948"/>
              <a:ext cx="2134914" cy="1105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32114</xdr:colOff>
      <xdr:row>6</xdr:row>
      <xdr:rowOff>52918</xdr:rowOff>
    </xdr:from>
    <xdr:to>
      <xdr:col>9</xdr:col>
      <xdr:colOff>10583</xdr:colOff>
      <xdr:row>16</xdr:row>
      <xdr:rowOff>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C25E69E-7FFB-4027-9156-E6BF78E4C5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15114" y="1195918"/>
              <a:ext cx="1968136"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8.959259143521" createdVersion="8" refreshedVersion="8" minRefreshableVersion="3" recordCount="119" xr:uid="{A0CABB2E-0A7E-437B-8E18-A16B60940E33}">
  <cacheSource type="worksheet">
    <worksheetSource name="Table1"/>
  </cacheSource>
  <cacheFields count="9">
    <cacheField name="Date" numFmtId="14">
      <sharedItems containsSemiMixedTypes="0" containsNonDate="0" containsDate="1" containsString="0" minDate="2026-01-02T00:00:00" maxDate="2026-12-05T00:00:00"/>
    </cacheField>
    <cacheField name="Product" numFmtId="0">
      <sharedItems count="7">
        <s v="Laptop"/>
        <s v="Chair"/>
        <s v="Phone"/>
        <s v="Sofa"/>
        <s v="Monitor"/>
        <s v="Table"/>
        <s v="Headphones"/>
      </sharedItems>
    </cacheField>
    <cacheField name="Category" numFmtId="0">
      <sharedItems count="2">
        <s v="Electronics"/>
        <s v="Furniture"/>
      </sharedItems>
    </cacheField>
    <cacheField name="Region" numFmtId="0">
      <sharedItems count="4">
        <s v="North"/>
        <s v="South"/>
        <s v="East"/>
        <s v="West"/>
      </sharedItems>
    </cacheField>
    <cacheField name="Sales" numFmtId="164">
      <sharedItems containsSemiMixedTypes="0" containsString="0" containsNumber="1" containsInteger="1" minValue="150" maxValue="1350"/>
    </cacheField>
    <cacheField name="Quantity" numFmtId="1">
      <sharedItems containsSemiMixedTypes="0" containsString="0" containsNumber="1" containsInteger="1" minValue="2" maxValue="5"/>
    </cacheField>
    <cacheField name="Profit" numFmtId="164">
      <sharedItems containsSemiMixedTypes="0" containsString="0" containsNumber="1" containsInteger="1" minValue="45" maxValue="340"/>
    </cacheField>
    <cacheField name="Months 2026" numFmtId="0">
      <sharedItems count="12">
        <s v="Feb"/>
        <s v="Mar"/>
        <s v="Apr"/>
        <s v="May"/>
        <s v="Jun"/>
        <s v="Jul"/>
        <s v="Aug"/>
        <s v="Sep"/>
        <s v="Oct"/>
        <s v="Nov"/>
        <s v="Dec"/>
        <s v="Jan"/>
      </sharedItems>
    </cacheField>
    <cacheField name="Profit Margin" numFmtId="0" formula="Profit /Sales" databaseField="0"/>
  </cacheFields>
  <extLst>
    <ext xmlns:x14="http://schemas.microsoft.com/office/spreadsheetml/2009/9/main" uri="{725AE2AE-9491-48be-B2B4-4EB974FC3084}">
      <x14:pivotCacheDefinition pivotCacheId="1747854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d v="2026-02-01T00:00:00"/>
    <x v="0"/>
    <x v="0"/>
    <x v="0"/>
    <n v="1200"/>
    <n v="3"/>
    <n v="300"/>
    <x v="0"/>
  </r>
  <r>
    <d v="2026-03-01T00:00:00"/>
    <x v="1"/>
    <x v="1"/>
    <x v="1"/>
    <n v="150"/>
    <n v="5"/>
    <n v="50"/>
    <x v="1"/>
  </r>
  <r>
    <d v="2026-04-01T00:00:00"/>
    <x v="2"/>
    <x v="0"/>
    <x v="2"/>
    <n v="800"/>
    <n v="4"/>
    <n v="200"/>
    <x v="2"/>
  </r>
  <r>
    <d v="2026-05-01T00:00:00"/>
    <x v="3"/>
    <x v="1"/>
    <x v="3"/>
    <n v="600"/>
    <n v="2"/>
    <n v="120"/>
    <x v="3"/>
  </r>
  <r>
    <d v="2026-06-01T00:00:00"/>
    <x v="4"/>
    <x v="0"/>
    <x v="0"/>
    <n v="300"/>
    <n v="3"/>
    <n v="60"/>
    <x v="4"/>
  </r>
  <r>
    <d v="2026-07-01T00:00:00"/>
    <x v="5"/>
    <x v="1"/>
    <x v="1"/>
    <n v="250"/>
    <n v="2"/>
    <n v="50"/>
    <x v="5"/>
  </r>
  <r>
    <d v="2026-08-01T00:00:00"/>
    <x v="6"/>
    <x v="0"/>
    <x v="2"/>
    <n v="150"/>
    <n v="5"/>
    <n v="45"/>
    <x v="6"/>
  </r>
  <r>
    <d v="2026-09-01T00:00:00"/>
    <x v="0"/>
    <x v="0"/>
    <x v="3"/>
    <n v="1300"/>
    <n v="2"/>
    <n v="320"/>
    <x v="7"/>
  </r>
  <r>
    <d v="2026-10-01T00:00:00"/>
    <x v="1"/>
    <x v="1"/>
    <x v="0"/>
    <n v="200"/>
    <n v="3"/>
    <n v="60"/>
    <x v="8"/>
  </r>
  <r>
    <d v="2026-11-01T00:00:00"/>
    <x v="2"/>
    <x v="0"/>
    <x v="1"/>
    <n v="750"/>
    <n v="2"/>
    <n v="180"/>
    <x v="9"/>
  </r>
  <r>
    <d v="2026-12-01T00:00:00"/>
    <x v="3"/>
    <x v="1"/>
    <x v="2"/>
    <n v="550"/>
    <n v="2"/>
    <n v="110"/>
    <x v="10"/>
  </r>
  <r>
    <d v="2026-01-13T00:00:00"/>
    <x v="4"/>
    <x v="0"/>
    <x v="3"/>
    <n v="350"/>
    <n v="3"/>
    <n v="70"/>
    <x v="11"/>
  </r>
  <r>
    <d v="2026-01-14T00:00:00"/>
    <x v="5"/>
    <x v="1"/>
    <x v="0"/>
    <n v="300"/>
    <n v="2"/>
    <n v="60"/>
    <x v="11"/>
  </r>
  <r>
    <d v="2026-01-15T00:00:00"/>
    <x v="6"/>
    <x v="0"/>
    <x v="1"/>
    <n v="180"/>
    <n v="4"/>
    <n v="50"/>
    <x v="11"/>
  </r>
  <r>
    <d v="2026-01-16T00:00:00"/>
    <x v="0"/>
    <x v="0"/>
    <x v="2"/>
    <n v="1250"/>
    <n v="3"/>
    <n v="310"/>
    <x v="11"/>
  </r>
  <r>
    <d v="2026-01-17T00:00:00"/>
    <x v="1"/>
    <x v="1"/>
    <x v="3"/>
    <n v="220"/>
    <n v="3"/>
    <n v="55"/>
    <x v="11"/>
  </r>
  <r>
    <d v="2026-01-18T00:00:00"/>
    <x v="2"/>
    <x v="0"/>
    <x v="0"/>
    <n v="780"/>
    <n v="4"/>
    <n v="195"/>
    <x v="11"/>
  </r>
  <r>
    <d v="2026-01-19T00:00:00"/>
    <x v="3"/>
    <x v="1"/>
    <x v="1"/>
    <n v="620"/>
    <n v="2"/>
    <n v="125"/>
    <x v="11"/>
  </r>
  <r>
    <d v="2026-01-20T00:00:00"/>
    <x v="4"/>
    <x v="0"/>
    <x v="2"/>
    <n v="330"/>
    <n v="3"/>
    <n v="66"/>
    <x v="11"/>
  </r>
  <r>
    <d v="2026-01-21T00:00:00"/>
    <x v="5"/>
    <x v="1"/>
    <x v="3"/>
    <n v="270"/>
    <n v="2"/>
    <n v="54"/>
    <x v="11"/>
  </r>
  <r>
    <d v="2026-01-22T00:00:00"/>
    <x v="6"/>
    <x v="0"/>
    <x v="0"/>
    <n v="160"/>
    <n v="4"/>
    <n v="48"/>
    <x v="11"/>
  </r>
  <r>
    <d v="2026-01-23T00:00:00"/>
    <x v="0"/>
    <x v="0"/>
    <x v="1"/>
    <n v="1350"/>
    <n v="3"/>
    <n v="340"/>
    <x v="11"/>
  </r>
  <r>
    <d v="2026-01-24T00:00:00"/>
    <x v="1"/>
    <x v="1"/>
    <x v="2"/>
    <n v="210"/>
    <n v="3"/>
    <n v="55"/>
    <x v="11"/>
  </r>
  <r>
    <d v="2026-01-25T00:00:00"/>
    <x v="2"/>
    <x v="0"/>
    <x v="3"/>
    <n v="800"/>
    <n v="4"/>
    <n v="200"/>
    <x v="11"/>
  </r>
  <r>
    <d v="2026-01-26T00:00:00"/>
    <x v="3"/>
    <x v="1"/>
    <x v="0"/>
    <n v="590"/>
    <n v="2"/>
    <n v="120"/>
    <x v="11"/>
  </r>
  <r>
    <d v="2026-01-27T00:00:00"/>
    <x v="4"/>
    <x v="0"/>
    <x v="1"/>
    <n v="310"/>
    <n v="3"/>
    <n v="62"/>
    <x v="11"/>
  </r>
  <r>
    <d v="2026-01-28T00:00:00"/>
    <x v="5"/>
    <x v="1"/>
    <x v="2"/>
    <n v="260"/>
    <n v="2"/>
    <n v="52"/>
    <x v="11"/>
  </r>
  <r>
    <d v="2026-01-29T00:00:00"/>
    <x v="6"/>
    <x v="0"/>
    <x v="3"/>
    <n v="170"/>
    <n v="4"/>
    <n v="51"/>
    <x v="11"/>
  </r>
  <r>
    <d v="2026-01-30T00:00:00"/>
    <x v="0"/>
    <x v="0"/>
    <x v="0"/>
    <n v="1280"/>
    <n v="3"/>
    <n v="320"/>
    <x v="11"/>
  </r>
  <r>
    <d v="2026-01-31T00:00:00"/>
    <x v="1"/>
    <x v="1"/>
    <x v="1"/>
    <n v="190"/>
    <n v="3"/>
    <n v="50"/>
    <x v="11"/>
  </r>
  <r>
    <d v="2026-01-02T00:00:00"/>
    <x v="2"/>
    <x v="0"/>
    <x v="2"/>
    <n v="820"/>
    <n v="4"/>
    <n v="205"/>
    <x v="11"/>
  </r>
  <r>
    <d v="2026-02-02T00:00:00"/>
    <x v="3"/>
    <x v="1"/>
    <x v="3"/>
    <n v="600"/>
    <n v="2"/>
    <n v="125"/>
    <x v="0"/>
  </r>
  <r>
    <d v="2026-03-02T00:00:00"/>
    <x v="4"/>
    <x v="0"/>
    <x v="0"/>
    <n v="340"/>
    <n v="3"/>
    <n v="68"/>
    <x v="1"/>
  </r>
  <r>
    <d v="2026-04-02T00:00:00"/>
    <x v="5"/>
    <x v="1"/>
    <x v="1"/>
    <n v="280"/>
    <n v="2"/>
    <n v="56"/>
    <x v="2"/>
  </r>
  <r>
    <d v="2026-05-02T00:00:00"/>
    <x v="6"/>
    <x v="0"/>
    <x v="2"/>
    <n v="150"/>
    <n v="5"/>
    <n v="45"/>
    <x v="3"/>
  </r>
  <r>
    <d v="2026-06-02T00:00:00"/>
    <x v="0"/>
    <x v="0"/>
    <x v="3"/>
    <n v="1300"/>
    <n v="3"/>
    <n v="330"/>
    <x v="4"/>
  </r>
  <r>
    <d v="2026-07-02T00:00:00"/>
    <x v="1"/>
    <x v="1"/>
    <x v="0"/>
    <n v="200"/>
    <n v="3"/>
    <n v="60"/>
    <x v="5"/>
  </r>
  <r>
    <d v="2026-08-02T00:00:00"/>
    <x v="2"/>
    <x v="0"/>
    <x v="1"/>
    <n v="770"/>
    <n v="4"/>
    <n v="190"/>
    <x v="6"/>
  </r>
  <r>
    <d v="2026-09-02T00:00:00"/>
    <x v="3"/>
    <x v="1"/>
    <x v="2"/>
    <n v="610"/>
    <n v="2"/>
    <n v="125"/>
    <x v="7"/>
  </r>
  <r>
    <d v="2026-10-02T00:00:00"/>
    <x v="4"/>
    <x v="0"/>
    <x v="3"/>
    <n v="350"/>
    <n v="3"/>
    <n v="70"/>
    <x v="8"/>
  </r>
  <r>
    <d v="2026-11-02T00:00:00"/>
    <x v="5"/>
    <x v="1"/>
    <x v="0"/>
    <n v="250"/>
    <n v="2"/>
    <n v="50"/>
    <x v="9"/>
  </r>
  <r>
    <d v="2026-12-02T00:00:00"/>
    <x v="6"/>
    <x v="0"/>
    <x v="1"/>
    <n v="160"/>
    <n v="4"/>
    <n v="48"/>
    <x v="10"/>
  </r>
  <r>
    <d v="2026-02-13T00:00:00"/>
    <x v="0"/>
    <x v="0"/>
    <x v="2"/>
    <n v="1350"/>
    <n v="3"/>
    <n v="340"/>
    <x v="0"/>
  </r>
  <r>
    <d v="2026-02-14T00:00:00"/>
    <x v="1"/>
    <x v="1"/>
    <x v="3"/>
    <n v="220"/>
    <n v="3"/>
    <n v="55"/>
    <x v="0"/>
  </r>
  <r>
    <d v="2026-02-15T00:00:00"/>
    <x v="2"/>
    <x v="0"/>
    <x v="0"/>
    <n v="780"/>
    <n v="4"/>
    <n v="195"/>
    <x v="0"/>
  </r>
  <r>
    <d v="2026-02-16T00:00:00"/>
    <x v="3"/>
    <x v="1"/>
    <x v="1"/>
    <n v="620"/>
    <n v="2"/>
    <n v="125"/>
    <x v="0"/>
  </r>
  <r>
    <d v="2026-02-17T00:00:00"/>
    <x v="4"/>
    <x v="0"/>
    <x v="2"/>
    <n v="330"/>
    <n v="3"/>
    <n v="66"/>
    <x v="0"/>
  </r>
  <r>
    <d v="2026-02-18T00:00:00"/>
    <x v="5"/>
    <x v="1"/>
    <x v="3"/>
    <n v="270"/>
    <n v="2"/>
    <n v="54"/>
    <x v="0"/>
  </r>
  <r>
    <d v="2026-02-19T00:00:00"/>
    <x v="6"/>
    <x v="0"/>
    <x v="0"/>
    <n v="160"/>
    <n v="4"/>
    <n v="48"/>
    <x v="0"/>
  </r>
  <r>
    <d v="2026-02-20T00:00:00"/>
    <x v="0"/>
    <x v="0"/>
    <x v="1"/>
    <n v="1280"/>
    <n v="3"/>
    <n v="320"/>
    <x v="0"/>
  </r>
  <r>
    <d v="2026-02-21T00:00:00"/>
    <x v="1"/>
    <x v="1"/>
    <x v="2"/>
    <n v="210"/>
    <n v="3"/>
    <n v="55"/>
    <x v="0"/>
  </r>
  <r>
    <d v="2026-02-22T00:00:00"/>
    <x v="2"/>
    <x v="0"/>
    <x v="3"/>
    <n v="800"/>
    <n v="4"/>
    <n v="200"/>
    <x v="0"/>
  </r>
  <r>
    <d v="2026-02-23T00:00:00"/>
    <x v="3"/>
    <x v="1"/>
    <x v="0"/>
    <n v="590"/>
    <n v="2"/>
    <n v="120"/>
    <x v="0"/>
  </r>
  <r>
    <d v="2026-02-24T00:00:00"/>
    <x v="4"/>
    <x v="0"/>
    <x v="1"/>
    <n v="310"/>
    <n v="3"/>
    <n v="62"/>
    <x v="0"/>
  </r>
  <r>
    <d v="2026-02-25T00:00:00"/>
    <x v="5"/>
    <x v="1"/>
    <x v="2"/>
    <n v="260"/>
    <n v="2"/>
    <n v="52"/>
    <x v="0"/>
  </r>
  <r>
    <d v="2026-02-26T00:00:00"/>
    <x v="6"/>
    <x v="0"/>
    <x v="3"/>
    <n v="170"/>
    <n v="4"/>
    <n v="51"/>
    <x v="0"/>
  </r>
  <r>
    <d v="2026-02-27T00:00:00"/>
    <x v="0"/>
    <x v="0"/>
    <x v="0"/>
    <n v="1250"/>
    <n v="3"/>
    <n v="310"/>
    <x v="0"/>
  </r>
  <r>
    <d v="2026-02-28T00:00:00"/>
    <x v="1"/>
    <x v="1"/>
    <x v="1"/>
    <n v="200"/>
    <n v="3"/>
    <n v="60"/>
    <x v="0"/>
  </r>
  <r>
    <d v="2026-01-03T00:00:00"/>
    <x v="2"/>
    <x v="0"/>
    <x v="2"/>
    <n v="780"/>
    <n v="4"/>
    <n v="195"/>
    <x v="11"/>
  </r>
  <r>
    <d v="2026-02-03T00:00:00"/>
    <x v="3"/>
    <x v="1"/>
    <x v="3"/>
    <n v="600"/>
    <n v="2"/>
    <n v="125"/>
    <x v="0"/>
  </r>
  <r>
    <d v="2026-03-03T00:00:00"/>
    <x v="4"/>
    <x v="0"/>
    <x v="0"/>
    <n v="340"/>
    <n v="3"/>
    <n v="68"/>
    <x v="1"/>
  </r>
  <r>
    <d v="2026-04-03T00:00:00"/>
    <x v="5"/>
    <x v="1"/>
    <x v="1"/>
    <n v="280"/>
    <n v="2"/>
    <n v="56"/>
    <x v="2"/>
  </r>
  <r>
    <d v="2026-05-03T00:00:00"/>
    <x v="6"/>
    <x v="0"/>
    <x v="2"/>
    <n v="150"/>
    <n v="5"/>
    <n v="45"/>
    <x v="3"/>
  </r>
  <r>
    <d v="2026-06-03T00:00:00"/>
    <x v="0"/>
    <x v="0"/>
    <x v="3"/>
    <n v="1300"/>
    <n v="3"/>
    <n v="330"/>
    <x v="4"/>
  </r>
  <r>
    <d v="2026-07-03T00:00:00"/>
    <x v="1"/>
    <x v="1"/>
    <x v="0"/>
    <n v="200"/>
    <n v="3"/>
    <n v="60"/>
    <x v="5"/>
  </r>
  <r>
    <d v="2026-08-03T00:00:00"/>
    <x v="2"/>
    <x v="0"/>
    <x v="1"/>
    <n v="770"/>
    <n v="4"/>
    <n v="190"/>
    <x v="6"/>
  </r>
  <r>
    <d v="2026-09-03T00:00:00"/>
    <x v="3"/>
    <x v="1"/>
    <x v="2"/>
    <n v="610"/>
    <n v="2"/>
    <n v="125"/>
    <x v="7"/>
  </r>
  <r>
    <d v="2026-10-03T00:00:00"/>
    <x v="4"/>
    <x v="0"/>
    <x v="3"/>
    <n v="350"/>
    <n v="3"/>
    <n v="70"/>
    <x v="8"/>
  </r>
  <r>
    <d v="2026-11-03T00:00:00"/>
    <x v="5"/>
    <x v="1"/>
    <x v="0"/>
    <n v="250"/>
    <n v="2"/>
    <n v="50"/>
    <x v="9"/>
  </r>
  <r>
    <d v="2026-12-03T00:00:00"/>
    <x v="6"/>
    <x v="0"/>
    <x v="1"/>
    <n v="160"/>
    <n v="4"/>
    <n v="48"/>
    <x v="10"/>
  </r>
  <r>
    <d v="2026-03-13T00:00:00"/>
    <x v="0"/>
    <x v="0"/>
    <x v="2"/>
    <n v="1350"/>
    <n v="3"/>
    <n v="340"/>
    <x v="1"/>
  </r>
  <r>
    <d v="2026-03-14T00:00:00"/>
    <x v="1"/>
    <x v="1"/>
    <x v="3"/>
    <n v="220"/>
    <n v="3"/>
    <n v="55"/>
    <x v="1"/>
  </r>
  <r>
    <d v="2026-03-15T00:00:00"/>
    <x v="2"/>
    <x v="0"/>
    <x v="0"/>
    <n v="780"/>
    <n v="4"/>
    <n v="195"/>
    <x v="1"/>
  </r>
  <r>
    <d v="2026-03-16T00:00:00"/>
    <x v="3"/>
    <x v="1"/>
    <x v="1"/>
    <n v="620"/>
    <n v="2"/>
    <n v="125"/>
    <x v="1"/>
  </r>
  <r>
    <d v="2026-03-17T00:00:00"/>
    <x v="4"/>
    <x v="0"/>
    <x v="2"/>
    <n v="330"/>
    <n v="3"/>
    <n v="66"/>
    <x v="1"/>
  </r>
  <r>
    <d v="2026-03-18T00:00:00"/>
    <x v="5"/>
    <x v="1"/>
    <x v="3"/>
    <n v="270"/>
    <n v="2"/>
    <n v="54"/>
    <x v="1"/>
  </r>
  <r>
    <d v="2026-03-19T00:00:00"/>
    <x v="6"/>
    <x v="0"/>
    <x v="0"/>
    <n v="160"/>
    <n v="4"/>
    <n v="48"/>
    <x v="1"/>
  </r>
  <r>
    <d v="2026-03-20T00:00:00"/>
    <x v="0"/>
    <x v="0"/>
    <x v="1"/>
    <n v="1280"/>
    <n v="3"/>
    <n v="320"/>
    <x v="1"/>
  </r>
  <r>
    <d v="2026-03-21T00:00:00"/>
    <x v="1"/>
    <x v="1"/>
    <x v="2"/>
    <n v="210"/>
    <n v="3"/>
    <n v="55"/>
    <x v="1"/>
  </r>
  <r>
    <d v="2026-03-22T00:00:00"/>
    <x v="2"/>
    <x v="0"/>
    <x v="3"/>
    <n v="800"/>
    <n v="4"/>
    <n v="200"/>
    <x v="1"/>
  </r>
  <r>
    <d v="2026-03-23T00:00:00"/>
    <x v="3"/>
    <x v="1"/>
    <x v="0"/>
    <n v="590"/>
    <n v="2"/>
    <n v="120"/>
    <x v="1"/>
  </r>
  <r>
    <d v="2026-03-24T00:00:00"/>
    <x v="4"/>
    <x v="0"/>
    <x v="1"/>
    <n v="310"/>
    <n v="3"/>
    <n v="62"/>
    <x v="1"/>
  </r>
  <r>
    <d v="2026-03-25T00:00:00"/>
    <x v="5"/>
    <x v="1"/>
    <x v="2"/>
    <n v="260"/>
    <n v="2"/>
    <n v="52"/>
    <x v="1"/>
  </r>
  <r>
    <d v="2026-03-26T00:00:00"/>
    <x v="6"/>
    <x v="0"/>
    <x v="3"/>
    <n v="170"/>
    <n v="4"/>
    <n v="51"/>
    <x v="1"/>
  </r>
  <r>
    <d v="2026-03-27T00:00:00"/>
    <x v="0"/>
    <x v="0"/>
    <x v="0"/>
    <n v="1250"/>
    <n v="3"/>
    <n v="310"/>
    <x v="1"/>
  </r>
  <r>
    <d v="2026-03-28T00:00:00"/>
    <x v="1"/>
    <x v="1"/>
    <x v="1"/>
    <n v="200"/>
    <n v="3"/>
    <n v="60"/>
    <x v="1"/>
  </r>
  <r>
    <d v="2026-03-29T00:00:00"/>
    <x v="2"/>
    <x v="0"/>
    <x v="2"/>
    <n v="780"/>
    <n v="4"/>
    <n v="195"/>
    <x v="1"/>
  </r>
  <r>
    <d v="2026-03-30T00:00:00"/>
    <x v="3"/>
    <x v="1"/>
    <x v="3"/>
    <n v="600"/>
    <n v="2"/>
    <n v="125"/>
    <x v="1"/>
  </r>
  <r>
    <d v="2026-03-31T00:00:00"/>
    <x v="4"/>
    <x v="0"/>
    <x v="0"/>
    <n v="340"/>
    <n v="3"/>
    <n v="68"/>
    <x v="1"/>
  </r>
  <r>
    <d v="2026-01-04T00:00:00"/>
    <x v="5"/>
    <x v="1"/>
    <x v="1"/>
    <n v="280"/>
    <n v="2"/>
    <n v="56"/>
    <x v="11"/>
  </r>
  <r>
    <d v="2026-02-04T00:00:00"/>
    <x v="6"/>
    <x v="0"/>
    <x v="2"/>
    <n v="150"/>
    <n v="5"/>
    <n v="45"/>
    <x v="0"/>
  </r>
  <r>
    <d v="2026-03-04T00:00:00"/>
    <x v="0"/>
    <x v="0"/>
    <x v="3"/>
    <n v="1300"/>
    <n v="3"/>
    <n v="330"/>
    <x v="1"/>
  </r>
  <r>
    <d v="2026-04-04T00:00:00"/>
    <x v="1"/>
    <x v="1"/>
    <x v="0"/>
    <n v="200"/>
    <n v="3"/>
    <n v="60"/>
    <x v="2"/>
  </r>
  <r>
    <d v="2026-05-04T00:00:00"/>
    <x v="2"/>
    <x v="0"/>
    <x v="1"/>
    <n v="770"/>
    <n v="4"/>
    <n v="190"/>
    <x v="3"/>
  </r>
  <r>
    <d v="2026-06-04T00:00:00"/>
    <x v="3"/>
    <x v="1"/>
    <x v="2"/>
    <n v="610"/>
    <n v="2"/>
    <n v="125"/>
    <x v="4"/>
  </r>
  <r>
    <d v="2026-07-04T00:00:00"/>
    <x v="4"/>
    <x v="0"/>
    <x v="3"/>
    <n v="350"/>
    <n v="3"/>
    <n v="70"/>
    <x v="5"/>
  </r>
  <r>
    <d v="2026-08-04T00:00:00"/>
    <x v="5"/>
    <x v="1"/>
    <x v="0"/>
    <n v="250"/>
    <n v="2"/>
    <n v="50"/>
    <x v="6"/>
  </r>
  <r>
    <d v="2026-09-04T00:00:00"/>
    <x v="6"/>
    <x v="0"/>
    <x v="1"/>
    <n v="160"/>
    <n v="4"/>
    <n v="48"/>
    <x v="7"/>
  </r>
  <r>
    <d v="2026-10-04T00:00:00"/>
    <x v="0"/>
    <x v="0"/>
    <x v="2"/>
    <n v="1350"/>
    <n v="3"/>
    <n v="340"/>
    <x v="8"/>
  </r>
  <r>
    <d v="2026-11-04T00:00:00"/>
    <x v="1"/>
    <x v="1"/>
    <x v="3"/>
    <n v="220"/>
    <n v="3"/>
    <n v="55"/>
    <x v="9"/>
  </r>
  <r>
    <d v="2026-12-04T00:00:00"/>
    <x v="2"/>
    <x v="0"/>
    <x v="0"/>
    <n v="780"/>
    <n v="4"/>
    <n v="195"/>
    <x v="10"/>
  </r>
  <r>
    <d v="2026-04-13T00:00:00"/>
    <x v="3"/>
    <x v="1"/>
    <x v="1"/>
    <n v="620"/>
    <n v="2"/>
    <n v="125"/>
    <x v="2"/>
  </r>
  <r>
    <d v="2026-04-14T00:00:00"/>
    <x v="4"/>
    <x v="0"/>
    <x v="2"/>
    <n v="330"/>
    <n v="3"/>
    <n v="66"/>
    <x v="2"/>
  </r>
  <r>
    <d v="2026-04-15T00:00:00"/>
    <x v="5"/>
    <x v="1"/>
    <x v="3"/>
    <n v="270"/>
    <n v="2"/>
    <n v="54"/>
    <x v="2"/>
  </r>
  <r>
    <d v="2026-04-16T00:00:00"/>
    <x v="6"/>
    <x v="0"/>
    <x v="0"/>
    <n v="160"/>
    <n v="4"/>
    <n v="48"/>
    <x v="2"/>
  </r>
  <r>
    <d v="2026-04-17T00:00:00"/>
    <x v="0"/>
    <x v="0"/>
    <x v="1"/>
    <n v="1280"/>
    <n v="3"/>
    <n v="320"/>
    <x v="2"/>
  </r>
  <r>
    <d v="2026-04-18T00:00:00"/>
    <x v="1"/>
    <x v="1"/>
    <x v="2"/>
    <n v="210"/>
    <n v="3"/>
    <n v="55"/>
    <x v="2"/>
  </r>
  <r>
    <d v="2026-04-19T00:00:00"/>
    <x v="2"/>
    <x v="0"/>
    <x v="3"/>
    <n v="800"/>
    <n v="4"/>
    <n v="200"/>
    <x v="2"/>
  </r>
  <r>
    <d v="2026-04-20T00:00:00"/>
    <x v="3"/>
    <x v="1"/>
    <x v="0"/>
    <n v="590"/>
    <n v="2"/>
    <n v="120"/>
    <x v="2"/>
  </r>
  <r>
    <d v="2026-04-21T00:00:00"/>
    <x v="4"/>
    <x v="0"/>
    <x v="1"/>
    <n v="310"/>
    <n v="3"/>
    <n v="62"/>
    <x v="2"/>
  </r>
  <r>
    <d v="2026-04-22T00:00:00"/>
    <x v="5"/>
    <x v="1"/>
    <x v="2"/>
    <n v="260"/>
    <n v="2"/>
    <n v="52"/>
    <x v="2"/>
  </r>
  <r>
    <d v="2026-04-23T00:00:00"/>
    <x v="6"/>
    <x v="0"/>
    <x v="3"/>
    <n v="170"/>
    <n v="4"/>
    <n v="51"/>
    <x v="2"/>
  </r>
  <r>
    <d v="2026-04-24T00:00:00"/>
    <x v="0"/>
    <x v="0"/>
    <x v="0"/>
    <n v="1250"/>
    <n v="3"/>
    <n v="310"/>
    <x v="2"/>
  </r>
  <r>
    <d v="2026-04-25T00:00:00"/>
    <x v="1"/>
    <x v="1"/>
    <x v="1"/>
    <n v="200"/>
    <n v="3"/>
    <n v="60"/>
    <x v="2"/>
  </r>
  <r>
    <d v="2026-04-26T00:00:00"/>
    <x v="2"/>
    <x v="0"/>
    <x v="2"/>
    <n v="780"/>
    <n v="4"/>
    <n v="195"/>
    <x v="2"/>
  </r>
  <r>
    <d v="2026-04-27T00:00:00"/>
    <x v="3"/>
    <x v="1"/>
    <x v="3"/>
    <n v="600"/>
    <n v="2"/>
    <n v="125"/>
    <x v="2"/>
  </r>
  <r>
    <d v="2026-04-28T00:00:00"/>
    <x v="4"/>
    <x v="0"/>
    <x v="0"/>
    <n v="340"/>
    <n v="3"/>
    <n v="68"/>
    <x v="2"/>
  </r>
  <r>
    <d v="2026-04-29T00:00:00"/>
    <x v="5"/>
    <x v="1"/>
    <x v="1"/>
    <n v="280"/>
    <n v="2"/>
    <n v="56"/>
    <x v="2"/>
  </r>
  <r>
    <d v="2026-04-30T00:00:00"/>
    <x v="6"/>
    <x v="0"/>
    <x v="2"/>
    <n v="150"/>
    <n v="5"/>
    <n v="4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484CB-FD87-4D59-96EB-2DF79859B70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1:B16" firstHeaderRow="1" firstDataRow="1" firstDataCol="1"/>
  <pivotFields count="9">
    <pivotField numFmtId="14" showAll="0"/>
    <pivotField showAll="0"/>
    <pivotField showAll="0">
      <items count="3">
        <item x="0"/>
        <item x="1"/>
        <item t="default"/>
      </items>
    </pivotField>
    <pivotField axis="axisRow" showAll="0">
      <items count="5">
        <item x="2"/>
        <item x="0"/>
        <item x="1"/>
        <item x="3"/>
        <item t="default"/>
      </items>
    </pivotField>
    <pivotField numFmtId="164" showAll="0"/>
    <pivotField numFmtId="2" showAll="0"/>
    <pivotField dataField="1" numFmtId="164" showAll="0"/>
    <pivotField showAll="0"/>
    <pivotField dragToRow="0" dragToCol="0" dragToPage="0" showAll="0" defaultSubtotal="0"/>
  </pivotFields>
  <rowFields count="1">
    <field x="3"/>
  </rowFields>
  <rowItems count="5">
    <i>
      <x/>
    </i>
    <i>
      <x v="1"/>
    </i>
    <i>
      <x v="2"/>
    </i>
    <i>
      <x v="3"/>
    </i>
    <i t="grand">
      <x/>
    </i>
  </rowItems>
  <colItems count="1">
    <i/>
  </colItems>
  <dataFields count="1">
    <dataField name="Sum of Profit" fld="6" baseField="0" baseItem="0" numFmtId="164"/>
  </dataFields>
  <formats count="6">
    <format dxfId="123">
      <pivotArea type="all" dataOnly="0" outline="0" fieldPosition="0"/>
    </format>
    <format dxfId="122">
      <pivotArea outline="0" collapsedLevelsAreSubtotals="1" fieldPosition="0"/>
    </format>
    <format dxfId="121">
      <pivotArea field="3" type="button" dataOnly="0" labelOnly="1" outline="0" axis="axisRow" fieldPosition="0"/>
    </format>
    <format dxfId="120">
      <pivotArea dataOnly="0" labelOnly="1" fieldPosition="0">
        <references count="1">
          <reference field="3" count="0"/>
        </references>
      </pivotArea>
    </format>
    <format dxfId="119">
      <pivotArea dataOnly="0" labelOnly="1" grandRow="1" outline="0" fieldPosition="0"/>
    </format>
    <format dxfId="118">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144E2-966A-446A-97AA-E3A343F88CB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s">
  <location ref="G3:J16" firstHeaderRow="0" firstDataRow="1" firstDataCol="1"/>
  <pivotFields count="9">
    <pivotField numFmtId="14" showAll="0"/>
    <pivotField showAll="0"/>
    <pivotField showAll="0">
      <items count="3">
        <item x="0"/>
        <item x="1"/>
        <item t="default"/>
      </items>
    </pivotField>
    <pivotField showAll="0">
      <items count="5">
        <item x="2"/>
        <item x="0"/>
        <item x="1"/>
        <item x="3"/>
        <item t="default"/>
      </items>
    </pivotField>
    <pivotField dataField="1" numFmtId="164" showAll="0"/>
    <pivotField numFmtId="1" showAll="0"/>
    <pivotField dataField="1" numFmtId="164" showAll="0"/>
    <pivotField axis="axisRow" showAll="0">
      <items count="13">
        <item x="11"/>
        <item x="0"/>
        <item x="1"/>
        <item x="2"/>
        <item x="3"/>
        <item x="4"/>
        <item x="5"/>
        <item x="6"/>
        <item x="7"/>
        <item x="8"/>
        <item x="9"/>
        <item x="10"/>
        <item t="default"/>
      </items>
    </pivotField>
    <pivotField dataField="1" dragToRow="0" dragToCol="0" dragToPage="0" showAll="0" defaultSubtotal="0"/>
  </pivotFields>
  <rowFields count="1">
    <field x="7"/>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4" baseField="0" baseItem="0" numFmtId="164"/>
    <dataField name="Sum of Profit" fld="6" baseField="0" baseItem="0" numFmtId="164"/>
    <dataField name="Sum of Profit Margin" fld="8" baseField="0" baseItem="0" numFmtId="10"/>
  </dataFields>
  <formats count="8">
    <format dxfId="129">
      <pivotArea type="all" dataOnly="0" outline="0" fieldPosition="0"/>
    </format>
    <format dxfId="128">
      <pivotArea outline="0" collapsedLevelsAreSubtotals="1" fieldPosition="0"/>
    </format>
    <format dxfId="127">
      <pivotArea field="7" type="button" dataOnly="0" labelOnly="1" outline="0" axis="axisRow" fieldPosition="0"/>
    </format>
    <format dxfId="126">
      <pivotArea dataOnly="0" labelOnly="1" fieldPosition="0">
        <references count="1">
          <reference field="7" count="0"/>
        </references>
      </pivotArea>
    </format>
    <format dxfId="125">
      <pivotArea dataOnly="0" labelOnly="1" grandRow="1" outline="0" fieldPosition="0"/>
    </format>
    <format dxfId="124">
      <pivotArea dataOnly="0" labelOnly="1" outline="0" fieldPosition="0">
        <references count="1">
          <reference field="4294967294" count="2">
            <x v="0"/>
            <x v="1"/>
          </reference>
        </references>
      </pivotArea>
    </format>
    <format dxfId="106">
      <pivotArea outline="0" collapsedLevelsAreSubtotals="1" fieldPosition="0">
        <references count="1">
          <reference field="4294967294" count="1" selected="0">
            <x v="2"/>
          </reference>
        </references>
      </pivotArea>
    </format>
    <format dxfId="105">
      <pivotArea dataOnly="0" labelOnly="1" outline="0" fieldPosition="0">
        <references count="1">
          <reference field="4294967294" count="1">
            <x v="2"/>
          </reference>
        </references>
      </pivotArea>
    </format>
  </formats>
  <chartFormats count="7">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B550F5-984F-44A9-A54D-42A92F09519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nths">
  <location ref="L3:M16" firstHeaderRow="1" firstDataRow="1" firstDataCol="1"/>
  <pivotFields count="9">
    <pivotField numFmtId="14" showAll="0"/>
    <pivotField showAll="0"/>
    <pivotField showAll="0">
      <items count="3">
        <item x="0"/>
        <item x="1"/>
        <item t="default"/>
      </items>
    </pivotField>
    <pivotField showAll="0">
      <items count="5">
        <item x="2"/>
        <item x="0"/>
        <item x="1"/>
        <item x="3"/>
        <item t="default"/>
      </items>
    </pivotField>
    <pivotField dataField="1" numFmtId="164" showAll="0"/>
    <pivotField numFmtId="1" showAll="0"/>
    <pivotField numFmtId="164" showAll="0"/>
    <pivotField axis="axisRow" showAll="0">
      <items count="13">
        <item x="11"/>
        <item x="0"/>
        <item x="1"/>
        <item x="2"/>
        <item x="3"/>
        <item x="4"/>
        <item x="5"/>
        <item x="6"/>
        <item x="7"/>
        <item x="8"/>
        <item x="9"/>
        <item x="10"/>
        <item t="default"/>
      </items>
    </pivotField>
    <pivotField dragToRow="0" dragToCol="0" dragToPage="0" showAll="0" defaultSubtotal="0"/>
  </pivotFields>
  <rowFields count="1">
    <field x="7"/>
  </rowFields>
  <rowItems count="13">
    <i>
      <x/>
    </i>
    <i>
      <x v="1"/>
    </i>
    <i>
      <x v="2"/>
    </i>
    <i>
      <x v="3"/>
    </i>
    <i>
      <x v="4"/>
    </i>
    <i>
      <x v="5"/>
    </i>
    <i>
      <x v="6"/>
    </i>
    <i>
      <x v="7"/>
    </i>
    <i>
      <x v="8"/>
    </i>
    <i>
      <x v="9"/>
    </i>
    <i>
      <x v="10"/>
    </i>
    <i>
      <x v="11"/>
    </i>
    <i t="grand">
      <x/>
    </i>
  </rowItems>
  <colItems count="1">
    <i/>
  </colItems>
  <dataFields count="1">
    <dataField name="Sum of Sales" fld="4" baseField="0" baseItem="0" numFmtId="164"/>
  </dataFields>
  <formats count="6">
    <format dxfId="135">
      <pivotArea type="all" dataOnly="0" outline="0" fieldPosition="0"/>
    </format>
    <format dxfId="134">
      <pivotArea outline="0" collapsedLevelsAreSubtotals="1" fieldPosition="0"/>
    </format>
    <format dxfId="133">
      <pivotArea field="7" type="button" dataOnly="0" labelOnly="1" outline="0" axis="axisRow" fieldPosition="0"/>
    </format>
    <format dxfId="132">
      <pivotArea dataOnly="0" labelOnly="1" fieldPosition="0">
        <references count="1">
          <reference field="7" count="0"/>
        </references>
      </pivotArea>
    </format>
    <format dxfId="131">
      <pivotArea dataOnly="0" labelOnly="1" grandRow="1" outline="0" fieldPosition="0"/>
    </format>
    <format dxfId="130">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C91531-E8C3-40A9-B909-264802DB3D9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6" firstHeaderRow="1" firstDataRow="1" firstDataCol="1"/>
  <pivotFields count="9">
    <pivotField numFmtId="14" showAll="0"/>
    <pivotField showAll="0"/>
    <pivotField axis="axisRow" showAll="0">
      <items count="3">
        <item x="0"/>
        <item x="1"/>
        <item t="default"/>
      </items>
    </pivotField>
    <pivotField showAll="0">
      <items count="5">
        <item x="2"/>
        <item x="0"/>
        <item x="1"/>
        <item x="3"/>
        <item t="default"/>
      </items>
    </pivotField>
    <pivotField dataField="1" numFmtId="164" showAll="0"/>
    <pivotField numFmtId="2" showAll="0"/>
    <pivotField numFmtId="164" showAll="0"/>
    <pivotField showAll="0"/>
    <pivotField dragToRow="0" dragToCol="0" dragToPage="0" showAll="0" defaultSubtotal="0"/>
  </pivotFields>
  <rowFields count="1">
    <field x="2"/>
  </rowFields>
  <rowItems count="3">
    <i>
      <x/>
    </i>
    <i>
      <x v="1"/>
    </i>
    <i t="grand">
      <x/>
    </i>
  </rowItems>
  <colItems count="1">
    <i/>
  </colItems>
  <dataFields count="1">
    <dataField name="Sum of Sales" fld="4" baseField="0" baseItem="0" numFmtId="164"/>
  </dataFields>
  <formats count="6">
    <format dxfId="141">
      <pivotArea type="all" dataOnly="0" outline="0" fieldPosition="0"/>
    </format>
    <format dxfId="140">
      <pivotArea outline="0" collapsedLevelsAreSubtotals="1" fieldPosition="0"/>
    </format>
    <format dxfId="139">
      <pivotArea field="2" type="button" dataOnly="0" labelOnly="1" outline="0" axis="axisRow" fieldPosition="0"/>
    </format>
    <format dxfId="138">
      <pivotArea dataOnly="0" labelOnly="1" fieldPosition="0">
        <references count="1">
          <reference field="2" count="0"/>
        </references>
      </pivotArea>
    </format>
    <format dxfId="137">
      <pivotArea dataOnly="0" labelOnly="1" grandRow="1" outline="0" fieldPosition="0"/>
    </format>
    <format dxfId="13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ED031-6373-40AC-9DCB-369C0334AE7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D3:E11" firstHeaderRow="1" firstDataRow="1" firstDataCol="1"/>
  <pivotFields count="9">
    <pivotField numFmtId="14" showAll="0"/>
    <pivotField axis="axisRow" showAll="0">
      <items count="8">
        <item x="1"/>
        <item x="6"/>
        <item x="0"/>
        <item x="4"/>
        <item x="2"/>
        <item x="3"/>
        <item x="5"/>
        <item t="default"/>
      </items>
    </pivotField>
    <pivotField showAll="0">
      <items count="3">
        <item x="0"/>
        <item x="1"/>
        <item t="default"/>
      </items>
    </pivotField>
    <pivotField showAll="0">
      <items count="5">
        <item x="2"/>
        <item x="0"/>
        <item x="1"/>
        <item x="3"/>
        <item t="default"/>
      </items>
    </pivotField>
    <pivotField numFmtId="164" showAll="0"/>
    <pivotField dataField="1" numFmtId="2" showAll="0"/>
    <pivotField numFmtId="164" showAll="0"/>
    <pivotField showAll="0"/>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Quantity" fld="5" baseField="0" baseItem="0" numFmtId="2"/>
  </dataFields>
  <formats count="9">
    <format dxfId="150">
      <pivotArea collapsedLevelsAreSubtotals="1" fieldPosition="0">
        <references count="1">
          <reference field="1" count="1">
            <x v="0"/>
          </reference>
        </references>
      </pivotArea>
    </format>
    <format dxfId="149">
      <pivotArea collapsedLevelsAreSubtotals="1" fieldPosition="0">
        <references count="1">
          <reference field="1" count="6">
            <x v="1"/>
            <x v="2"/>
            <x v="3"/>
            <x v="4"/>
            <x v="5"/>
            <x v="6"/>
          </reference>
        </references>
      </pivotArea>
    </format>
    <format dxfId="148">
      <pivotArea grandRow="1" outline="0" collapsedLevelsAreSubtotals="1" fieldPosition="0"/>
    </format>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249CE4-4D90-4B0A-9405-0B1571292FE0}" sourceName="Region">
  <pivotTables>
    <pivotTable tabId="2" name="PivotTable1"/>
    <pivotTable tabId="2" name="PivotTable2"/>
    <pivotTable tabId="2" name="PivotTable3"/>
    <pivotTable tabId="2" name="PivotTable4"/>
    <pivotTable tabId="2" name="PivotTable5"/>
  </pivotTables>
  <data>
    <tabular pivotCacheId="174785486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799F80-F5D8-4BBB-BC80-57A8F6E4413A}" sourceName="Category">
  <pivotTables>
    <pivotTable tabId="2" name="PivotTable1"/>
    <pivotTable tabId="2" name="PivotTable2"/>
    <pivotTable tabId="2" name="PivotTable3"/>
    <pivotTable tabId="2" name="PivotTable4"/>
    <pivotTable tabId="2" name="PivotTable5"/>
  </pivotTables>
  <data>
    <tabular pivotCacheId="17478548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AE9CCB-3A00-43A2-939E-8C8E5192D750}" cache="Slicer_Region" caption="Region" style="SlicerStyleDark1" rowHeight="365760"/>
  <slicer name="Category" xr10:uid="{A8BCA622-46F3-459D-87B2-C5175ADA8ED1}" cache="Slicer_Category" caption="Category" style="SlicerStyleDark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66C70-ADC3-4E10-A0E6-718BA4507B11}" name="Table1" displayName="Table1" ref="A1:H120" totalsRowShown="0">
  <autoFilter ref="A1:H120" xr:uid="{C4166C70-ADC3-4E10-A0E6-718BA4507B11}"/>
  <tableColumns count="8">
    <tableColumn id="1" xr3:uid="{390FB95C-A6C7-402A-B446-7CFF8D8249EC}" name="Date" dataDxfId="117"/>
    <tableColumn id="2" xr3:uid="{DE2B4705-4DB1-4595-8544-DFE25D1970D7}" name="Product"/>
    <tableColumn id="3" xr3:uid="{46791297-18CC-4D97-A0FA-1DC62F7D948C}" name="Category"/>
    <tableColumn id="4" xr3:uid="{864E4233-C230-44DD-9AE6-D14058810E2A}" name="Region"/>
    <tableColumn id="5" xr3:uid="{0C8D1673-3E11-4728-9E33-7F7263699A0F}" name="Sales" dataDxfId="116"/>
    <tableColumn id="6" xr3:uid="{72E55A0A-3394-4CEF-ABD2-FE3ADDD787A3}" name="Quantity" dataDxfId="115"/>
    <tableColumn id="7" xr3:uid="{14714096-809C-4DFF-8CC1-8CD5563140A2}" name="Profit" dataDxfId="114"/>
    <tableColumn id="8" xr3:uid="{43336FBF-2F5E-4107-AF27-F0868D559597}" name="Months 2026" dataDxfId="113">
      <calculatedColumnFormula>TEXT(Table1[[#This Row],[Date]],"mmm")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2765-D87A-4FC3-9FD2-7D205D31D27F}">
  <dimension ref="A1:M16"/>
  <sheetViews>
    <sheetView zoomScale="140" zoomScaleNormal="140" workbookViewId="0">
      <selection activeCell="J3" sqref="J1:J1048576"/>
    </sheetView>
  </sheetViews>
  <sheetFormatPr defaultRowHeight="15" x14ac:dyDescent="0.25"/>
  <cols>
    <col min="1" max="1" width="11.28515625" bestFit="1" customWidth="1"/>
    <col min="2" max="2" width="12.5703125" bestFit="1" customWidth="1"/>
    <col min="3" max="3" width="3.5703125" customWidth="1"/>
    <col min="4" max="4" width="12.140625" bestFit="1" customWidth="1"/>
    <col min="5" max="5" width="15.42578125" bestFit="1" customWidth="1"/>
    <col min="6" max="6" width="3.28515625" customWidth="1"/>
    <col min="7" max="7" width="11.28515625" bestFit="1" customWidth="1"/>
    <col min="8" max="8" width="12.140625" bestFit="1" customWidth="1"/>
    <col min="9" max="9" width="12.5703125" bestFit="1" customWidth="1"/>
    <col min="10" max="10" width="19.5703125" style="18" bestFit="1" customWidth="1"/>
    <col min="11" max="11" width="5.140625" customWidth="1"/>
    <col min="12" max="12" width="11.28515625" bestFit="1" customWidth="1"/>
    <col min="13" max="14" width="12.140625" bestFit="1" customWidth="1"/>
  </cols>
  <sheetData>
    <row r="1" spans="1:13" ht="15" customHeight="1" x14ac:dyDescent="0.25">
      <c r="A1" s="11" t="s">
        <v>37</v>
      </c>
      <c r="B1" s="12"/>
      <c r="D1" s="11" t="s">
        <v>39</v>
      </c>
      <c r="E1" s="11"/>
      <c r="G1" s="13" t="s">
        <v>41</v>
      </c>
      <c r="H1" s="14"/>
      <c r="I1" s="14"/>
      <c r="J1" s="14"/>
      <c r="L1" s="11" t="s">
        <v>40</v>
      </c>
      <c r="M1" s="11"/>
    </row>
    <row r="2" spans="1:13" ht="15" customHeight="1" x14ac:dyDescent="0.25">
      <c r="A2" s="12"/>
      <c r="B2" s="12"/>
      <c r="D2" s="11"/>
      <c r="E2" s="11"/>
      <c r="G2" s="15"/>
      <c r="H2" s="16"/>
      <c r="I2" s="16"/>
      <c r="J2" s="16"/>
      <c r="L2" s="11"/>
      <c r="M2" s="11"/>
    </row>
    <row r="3" spans="1:13" x14ac:dyDescent="0.25">
      <c r="A3" s="5" t="s">
        <v>2</v>
      </c>
      <c r="B3" s="6" t="s">
        <v>22</v>
      </c>
      <c r="D3" s="5" t="s">
        <v>1</v>
      </c>
      <c r="E3" s="6" t="s">
        <v>24</v>
      </c>
      <c r="G3" s="5" t="s">
        <v>42</v>
      </c>
      <c r="H3" s="6" t="s">
        <v>22</v>
      </c>
      <c r="I3" s="6" t="s">
        <v>23</v>
      </c>
      <c r="J3" s="17" t="s">
        <v>44</v>
      </c>
      <c r="L3" s="5" t="s">
        <v>42</v>
      </c>
      <c r="M3" s="6" t="s">
        <v>22</v>
      </c>
    </row>
    <row r="4" spans="1:13" x14ac:dyDescent="0.25">
      <c r="A4" s="7" t="s">
        <v>8</v>
      </c>
      <c r="B4" s="8">
        <v>43610</v>
      </c>
      <c r="D4" s="7" t="s">
        <v>10</v>
      </c>
      <c r="E4" s="9">
        <v>53</v>
      </c>
      <c r="G4" s="7" t="s">
        <v>25</v>
      </c>
      <c r="H4" s="8">
        <v>11500</v>
      </c>
      <c r="I4" s="8">
        <v>2739</v>
      </c>
      <c r="J4" s="17">
        <v>0.23817391304347826</v>
      </c>
      <c r="L4" s="7" t="s">
        <v>25</v>
      </c>
      <c r="M4" s="8">
        <v>11500</v>
      </c>
    </row>
    <row r="5" spans="1:13" x14ac:dyDescent="0.25">
      <c r="A5" s="7" t="s">
        <v>11</v>
      </c>
      <c r="B5" s="8">
        <v>18220</v>
      </c>
      <c r="D5" s="7" t="s">
        <v>19</v>
      </c>
      <c r="E5" s="9">
        <v>73</v>
      </c>
      <c r="G5" s="7" t="s">
        <v>26</v>
      </c>
      <c r="H5" s="8">
        <v>11350</v>
      </c>
      <c r="I5" s="8">
        <v>2708</v>
      </c>
      <c r="J5" s="17">
        <v>0.23859030837004405</v>
      </c>
      <c r="L5" s="7" t="s">
        <v>26</v>
      </c>
      <c r="M5" s="8">
        <v>11350</v>
      </c>
    </row>
    <row r="6" spans="1:13" x14ac:dyDescent="0.25">
      <c r="A6" s="7" t="s">
        <v>21</v>
      </c>
      <c r="B6" s="8">
        <v>61830</v>
      </c>
      <c r="D6" s="7" t="s">
        <v>7</v>
      </c>
      <c r="E6" s="9">
        <v>50</v>
      </c>
      <c r="G6" s="7" t="s">
        <v>27</v>
      </c>
      <c r="H6" s="8">
        <v>12650</v>
      </c>
      <c r="I6" s="8">
        <v>3017</v>
      </c>
      <c r="J6" s="17">
        <v>0.23849802371541501</v>
      </c>
      <c r="L6" s="7" t="s">
        <v>27</v>
      </c>
      <c r="M6" s="8">
        <v>12650</v>
      </c>
    </row>
    <row r="7" spans="1:13" ht="15" customHeight="1" x14ac:dyDescent="0.25">
      <c r="D7" s="7" t="s">
        <v>17</v>
      </c>
      <c r="E7" s="9">
        <v>51</v>
      </c>
      <c r="G7" s="7" t="s">
        <v>28</v>
      </c>
      <c r="H7" s="8">
        <v>10160</v>
      </c>
      <c r="I7" s="8">
        <v>2384</v>
      </c>
      <c r="J7" s="17">
        <v>0.23464566929133859</v>
      </c>
      <c r="L7" s="7" t="s">
        <v>28</v>
      </c>
      <c r="M7" s="8">
        <v>10160</v>
      </c>
    </row>
    <row r="8" spans="1:13" ht="15" customHeight="1" x14ac:dyDescent="0.25">
      <c r="D8" s="7" t="s">
        <v>13</v>
      </c>
      <c r="E8" s="9">
        <v>66</v>
      </c>
      <c r="G8" s="7" t="s">
        <v>29</v>
      </c>
      <c r="H8" s="8">
        <v>1670</v>
      </c>
      <c r="I8" s="8">
        <v>400</v>
      </c>
      <c r="J8" s="17">
        <v>0.23952095808383234</v>
      </c>
      <c r="L8" s="7" t="s">
        <v>29</v>
      </c>
      <c r="M8" s="8">
        <v>1670</v>
      </c>
    </row>
    <row r="9" spans="1:13" x14ac:dyDescent="0.25">
      <c r="A9" s="11" t="s">
        <v>38</v>
      </c>
      <c r="B9" s="12"/>
      <c r="D9" s="7" t="s">
        <v>15</v>
      </c>
      <c r="E9" s="9">
        <v>34</v>
      </c>
      <c r="G9" s="7" t="s">
        <v>30</v>
      </c>
      <c r="H9" s="8">
        <v>3510</v>
      </c>
      <c r="I9" s="8">
        <v>845</v>
      </c>
      <c r="J9" s="17">
        <v>0.24074074074074073</v>
      </c>
      <c r="L9" s="7" t="s">
        <v>30</v>
      </c>
      <c r="M9" s="8">
        <v>3510</v>
      </c>
    </row>
    <row r="10" spans="1:13" x14ac:dyDescent="0.25">
      <c r="A10" s="12"/>
      <c r="B10" s="12"/>
      <c r="D10" s="7" t="s">
        <v>18</v>
      </c>
      <c r="E10" s="9">
        <v>34</v>
      </c>
      <c r="G10" s="7" t="s">
        <v>31</v>
      </c>
      <c r="H10" s="8">
        <v>1000</v>
      </c>
      <c r="I10" s="8">
        <v>240</v>
      </c>
      <c r="J10" s="17">
        <v>0.24</v>
      </c>
      <c r="L10" s="7" t="s">
        <v>31</v>
      </c>
      <c r="M10" s="8">
        <v>1000</v>
      </c>
    </row>
    <row r="11" spans="1:13" x14ac:dyDescent="0.25">
      <c r="A11" s="5" t="s">
        <v>3</v>
      </c>
      <c r="B11" s="6" t="s">
        <v>23</v>
      </c>
      <c r="D11" s="7" t="s">
        <v>21</v>
      </c>
      <c r="E11" s="9">
        <v>361</v>
      </c>
      <c r="G11" s="7" t="s">
        <v>32</v>
      </c>
      <c r="H11" s="8">
        <v>1940</v>
      </c>
      <c r="I11" s="8">
        <v>475</v>
      </c>
      <c r="J11" s="17">
        <v>0.24484536082474226</v>
      </c>
      <c r="L11" s="7" t="s">
        <v>32</v>
      </c>
      <c r="M11" s="8">
        <v>1940</v>
      </c>
    </row>
    <row r="12" spans="1:13" x14ac:dyDescent="0.25">
      <c r="A12" s="7" t="s">
        <v>14</v>
      </c>
      <c r="B12" s="8">
        <v>3722</v>
      </c>
      <c r="G12" s="7" t="s">
        <v>33</v>
      </c>
      <c r="H12" s="8">
        <v>2680</v>
      </c>
      <c r="I12" s="8">
        <v>618</v>
      </c>
      <c r="J12" s="17">
        <v>0.23059701492537313</v>
      </c>
      <c r="L12" s="7" t="s">
        <v>33</v>
      </c>
      <c r="M12" s="8">
        <v>2680</v>
      </c>
    </row>
    <row r="13" spans="1:13" ht="15" customHeight="1" x14ac:dyDescent="0.25">
      <c r="A13" s="7" t="s">
        <v>9</v>
      </c>
      <c r="B13" s="8">
        <v>3784</v>
      </c>
      <c r="G13" s="7" t="s">
        <v>34</v>
      </c>
      <c r="H13" s="8">
        <v>2250</v>
      </c>
      <c r="I13" s="8">
        <v>540</v>
      </c>
      <c r="J13" s="17">
        <v>0.24</v>
      </c>
      <c r="L13" s="7" t="s">
        <v>34</v>
      </c>
      <c r="M13" s="8">
        <v>2250</v>
      </c>
    </row>
    <row r="14" spans="1:13" ht="15" customHeight="1" x14ac:dyDescent="0.25">
      <c r="A14" s="7" t="s">
        <v>12</v>
      </c>
      <c r="B14" s="8">
        <v>3546</v>
      </c>
      <c r="G14" s="7" t="s">
        <v>35</v>
      </c>
      <c r="H14" s="8">
        <v>1470</v>
      </c>
      <c r="I14" s="8">
        <v>335</v>
      </c>
      <c r="J14" s="17">
        <v>0.22789115646258504</v>
      </c>
      <c r="L14" s="7" t="s">
        <v>35</v>
      </c>
      <c r="M14" s="8">
        <v>1470</v>
      </c>
    </row>
    <row r="15" spans="1:13" x14ac:dyDescent="0.25">
      <c r="A15" s="7" t="s">
        <v>16</v>
      </c>
      <c r="B15" s="8">
        <v>3650</v>
      </c>
      <c r="G15" s="7" t="s">
        <v>36</v>
      </c>
      <c r="H15" s="8">
        <v>1650</v>
      </c>
      <c r="I15" s="8">
        <v>401</v>
      </c>
      <c r="J15" s="17">
        <v>0.24303030303030304</v>
      </c>
      <c r="L15" s="7" t="s">
        <v>36</v>
      </c>
      <c r="M15" s="8">
        <v>1650</v>
      </c>
    </row>
    <row r="16" spans="1:13" x14ac:dyDescent="0.25">
      <c r="A16" s="7" t="s">
        <v>21</v>
      </c>
      <c r="B16" s="8">
        <v>14702</v>
      </c>
      <c r="G16" s="7" t="s">
        <v>21</v>
      </c>
      <c r="H16" s="8">
        <v>61830</v>
      </c>
      <c r="I16" s="8">
        <v>14702</v>
      </c>
      <c r="J16" s="17">
        <v>0.23778101245350153</v>
      </c>
      <c r="L16" s="7" t="s">
        <v>21</v>
      </c>
      <c r="M16" s="8">
        <v>61830</v>
      </c>
    </row>
  </sheetData>
  <mergeCells count="5">
    <mergeCell ref="A1:B2"/>
    <mergeCell ref="A9:B10"/>
    <mergeCell ref="D1:E2"/>
    <mergeCell ref="L1:M2"/>
    <mergeCell ref="G1: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3267B-5761-4276-9B2D-74EF910B3419}">
  <dimension ref="A1:V31"/>
  <sheetViews>
    <sheetView showGridLines="0" zoomScale="90" zoomScaleNormal="90" workbookViewId="0">
      <selection activeCell="T12" sqref="T12:V17"/>
    </sheetView>
  </sheetViews>
  <sheetFormatPr defaultRowHeight="15" x14ac:dyDescent="0.25"/>
  <cols>
    <col min="7" max="7" width="11.140625" customWidth="1"/>
    <col min="9" max="9" width="9.5703125" customWidth="1"/>
    <col min="14" max="14" width="48.5703125" customWidth="1"/>
    <col min="21" max="21" width="9.28515625" customWidth="1"/>
    <col min="22" max="22" width="11.7109375" customWidth="1"/>
  </cols>
  <sheetData>
    <row r="1" spans="1:22" x14ac:dyDescent="0.25">
      <c r="A1" s="10" t="s">
        <v>43</v>
      </c>
      <c r="B1" s="10"/>
      <c r="C1" s="10"/>
      <c r="D1" s="10"/>
      <c r="E1" s="10"/>
      <c r="F1" s="10"/>
      <c r="T1" s="19" t="s">
        <v>45</v>
      </c>
      <c r="U1" s="19"/>
      <c r="V1" s="19"/>
    </row>
    <row r="2" spans="1:22" x14ac:dyDescent="0.25">
      <c r="A2" s="10"/>
      <c r="B2" s="10"/>
      <c r="C2" s="10"/>
      <c r="D2" s="10"/>
      <c r="E2" s="10"/>
      <c r="F2" s="10"/>
      <c r="T2" s="19"/>
      <c r="U2" s="19"/>
      <c r="V2" s="19"/>
    </row>
    <row r="3" spans="1:22" x14ac:dyDescent="0.25">
      <c r="A3" s="10"/>
      <c r="B3" s="10"/>
      <c r="C3" s="10"/>
      <c r="D3" s="10"/>
      <c r="E3" s="10"/>
      <c r="F3" s="10"/>
      <c r="T3" s="19"/>
      <c r="U3" s="19"/>
      <c r="V3" s="19"/>
    </row>
    <row r="4" spans="1:22" x14ac:dyDescent="0.25">
      <c r="A4" s="10"/>
      <c r="B4" s="10"/>
      <c r="C4" s="10"/>
      <c r="D4" s="10"/>
      <c r="E4" s="10"/>
      <c r="F4" s="10"/>
      <c r="T4" s="19"/>
      <c r="U4" s="19"/>
      <c r="V4" s="19"/>
    </row>
    <row r="5" spans="1:22" ht="15" customHeight="1" x14ac:dyDescent="0.25">
      <c r="A5" s="10"/>
      <c r="B5" s="10"/>
      <c r="C5" s="10"/>
      <c r="D5" s="10"/>
      <c r="E5" s="10"/>
      <c r="F5" s="10"/>
      <c r="T5" s="21">
        <f>GETPIVOTDATA("Quantity",'Pivot Tables'!$D$3)</f>
        <v>361</v>
      </c>
      <c r="U5" s="21"/>
      <c r="V5" s="21"/>
    </row>
    <row r="6" spans="1:22" ht="15" customHeight="1" x14ac:dyDescent="0.25">
      <c r="A6" s="10"/>
      <c r="B6" s="10"/>
      <c r="C6" s="10"/>
      <c r="D6" s="10"/>
      <c r="E6" s="10"/>
      <c r="F6" s="10"/>
      <c r="T6" s="21"/>
      <c r="U6" s="21"/>
      <c r="V6" s="21"/>
    </row>
    <row r="7" spans="1:22" ht="15" customHeight="1" x14ac:dyDescent="0.25">
      <c r="T7" s="21"/>
      <c r="U7" s="21"/>
      <c r="V7" s="21"/>
    </row>
    <row r="8" spans="1:22" ht="15" customHeight="1" x14ac:dyDescent="0.25">
      <c r="T8" s="21"/>
      <c r="U8" s="21"/>
      <c r="V8" s="21"/>
    </row>
    <row r="9" spans="1:22" ht="26.25" customHeight="1" x14ac:dyDescent="0.25">
      <c r="T9" s="19" t="s">
        <v>46</v>
      </c>
      <c r="U9" s="19"/>
      <c r="V9" s="19"/>
    </row>
    <row r="10" spans="1:22" ht="15" customHeight="1" x14ac:dyDescent="0.25">
      <c r="T10" s="19"/>
      <c r="U10" s="19"/>
      <c r="V10" s="19"/>
    </row>
    <row r="11" spans="1:22" ht="15" customHeight="1" x14ac:dyDescent="0.25">
      <c r="T11" s="19"/>
      <c r="U11" s="19"/>
      <c r="V11" s="19"/>
    </row>
    <row r="12" spans="1:22" ht="15" customHeight="1" x14ac:dyDescent="0.25">
      <c r="T12" s="20">
        <f>GETPIVOTDATA("Sum of Profit Margin",'Pivot Tables'!$G$3)</f>
        <v>0.23778101245350153</v>
      </c>
      <c r="U12" s="20"/>
      <c r="V12" s="20"/>
    </row>
    <row r="13" spans="1:22" ht="15" customHeight="1" x14ac:dyDescent="0.25">
      <c r="T13" s="20"/>
      <c r="U13" s="20"/>
      <c r="V13" s="20"/>
    </row>
    <row r="14" spans="1:22" ht="15" customHeight="1" x14ac:dyDescent="0.25">
      <c r="T14" s="20"/>
      <c r="U14" s="20"/>
      <c r="V14" s="20"/>
    </row>
    <row r="15" spans="1:22" ht="15" customHeight="1" x14ac:dyDescent="0.25">
      <c r="T15" s="20"/>
      <c r="U15" s="20"/>
      <c r="V15" s="20"/>
    </row>
    <row r="16" spans="1:22" x14ac:dyDescent="0.25">
      <c r="T16" s="20"/>
      <c r="U16" s="20"/>
      <c r="V16" s="20"/>
    </row>
    <row r="17" spans="7:22" x14ac:dyDescent="0.25">
      <c r="G17" s="19" t="s">
        <v>47</v>
      </c>
      <c r="H17" s="19"/>
      <c r="I17" s="19"/>
      <c r="T17" s="20"/>
      <c r="U17" s="20"/>
      <c r="V17" s="20"/>
    </row>
    <row r="18" spans="7:22" x14ac:dyDescent="0.25">
      <c r="G18" s="19"/>
      <c r="H18" s="19"/>
      <c r="I18" s="19"/>
    </row>
    <row r="19" spans="7:22" x14ac:dyDescent="0.25">
      <c r="G19" s="19"/>
      <c r="H19" s="19"/>
      <c r="I19" s="19"/>
    </row>
    <row r="20" spans="7:22" x14ac:dyDescent="0.25">
      <c r="G20" s="19"/>
      <c r="H20" s="19"/>
      <c r="I20" s="19"/>
    </row>
    <row r="21" spans="7:22" x14ac:dyDescent="0.25">
      <c r="G21" s="22">
        <f>GETPIVOTDATA("Sales",'Pivot Tables'!$A$3)</f>
        <v>61830</v>
      </c>
      <c r="H21" s="22"/>
      <c r="I21" s="22"/>
    </row>
    <row r="22" spans="7:22" x14ac:dyDescent="0.25">
      <c r="G22" s="22"/>
      <c r="H22" s="22"/>
      <c r="I22" s="22"/>
    </row>
    <row r="23" spans="7:22" x14ac:dyDescent="0.25">
      <c r="G23" s="22"/>
      <c r="H23" s="22"/>
      <c r="I23" s="22"/>
    </row>
    <row r="24" spans="7:22" x14ac:dyDescent="0.25">
      <c r="G24" s="22"/>
      <c r="H24" s="22"/>
      <c r="I24" s="22"/>
    </row>
    <row r="25" spans="7:22" x14ac:dyDescent="0.25">
      <c r="G25" s="23" t="s">
        <v>48</v>
      </c>
      <c r="H25" s="23"/>
      <c r="I25" s="23"/>
    </row>
    <row r="26" spans="7:22" x14ac:dyDescent="0.25">
      <c r="G26" s="23"/>
      <c r="H26" s="23"/>
      <c r="I26" s="23"/>
    </row>
    <row r="27" spans="7:22" x14ac:dyDescent="0.25">
      <c r="G27" s="23"/>
      <c r="H27" s="23"/>
      <c r="I27" s="23"/>
    </row>
    <row r="28" spans="7:22" ht="26.25" customHeight="1" x14ac:dyDescent="0.25">
      <c r="G28" s="22">
        <f>GETPIVOTDATA("Profit",'Pivot Tables'!$A$11)</f>
        <v>14702</v>
      </c>
      <c r="H28" s="22"/>
      <c r="I28" s="22"/>
    </row>
    <row r="29" spans="7:22" ht="15" customHeight="1" x14ac:dyDescent="0.25">
      <c r="G29" s="22"/>
      <c r="H29" s="22"/>
      <c r="I29" s="22"/>
    </row>
    <row r="30" spans="7:22" x14ac:dyDescent="0.25">
      <c r="G30" s="22"/>
      <c r="H30" s="22"/>
      <c r="I30" s="22"/>
    </row>
    <row r="31" spans="7:22" s="25" customFormat="1" x14ac:dyDescent="0.25">
      <c r="G31" s="24"/>
    </row>
  </sheetData>
  <mergeCells count="9">
    <mergeCell ref="G17:I20"/>
    <mergeCell ref="G21:I24"/>
    <mergeCell ref="G25:I27"/>
    <mergeCell ref="G28:I30"/>
    <mergeCell ref="T12:V17"/>
    <mergeCell ref="A1:F6"/>
    <mergeCell ref="T1:V4"/>
    <mergeCell ref="T5:V8"/>
    <mergeCell ref="T9:V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D9E6-BB7A-466C-8DD0-99551EBCE1C8}">
  <dimension ref="A1:J120"/>
  <sheetViews>
    <sheetView tabSelected="1" topLeftCell="A2" zoomScale="172" zoomScaleNormal="172" workbookViewId="0">
      <selection activeCell="J8" sqref="J8"/>
    </sheetView>
  </sheetViews>
  <sheetFormatPr defaultRowHeight="15" x14ac:dyDescent="0.25"/>
  <cols>
    <col min="1" max="1" width="10.140625" style="1" bestFit="1" customWidth="1"/>
    <col min="2" max="2" width="12.140625" bestFit="1" customWidth="1"/>
    <col min="3" max="3" width="11.140625" bestFit="1" customWidth="1"/>
    <col min="4" max="4" width="9.42578125" bestFit="1" customWidth="1"/>
    <col min="5" max="5" width="9.5703125" style="2" bestFit="1" customWidth="1"/>
    <col min="6" max="6" width="11" style="3" bestFit="1" customWidth="1"/>
    <col min="7" max="7" width="8.28515625" style="2" bestFit="1" customWidth="1"/>
    <col min="10" max="10" width="8.42578125" bestFit="1" customWidth="1"/>
  </cols>
  <sheetData>
    <row r="1" spans="1:10" x14ac:dyDescent="0.25">
      <c r="A1" s="1" t="s">
        <v>0</v>
      </c>
      <c r="B1" t="s">
        <v>1</v>
      </c>
      <c r="C1" t="s">
        <v>2</v>
      </c>
      <c r="D1" t="s">
        <v>3</v>
      </c>
      <c r="E1" s="2" t="s">
        <v>4</v>
      </c>
      <c r="F1" s="3" t="s">
        <v>5</v>
      </c>
      <c r="G1" s="2" t="s">
        <v>6</v>
      </c>
      <c r="H1" t="s">
        <v>20</v>
      </c>
    </row>
    <row r="2" spans="1:10" x14ac:dyDescent="0.25">
      <c r="A2" s="1">
        <v>46054</v>
      </c>
      <c r="B2" t="s">
        <v>7</v>
      </c>
      <c r="C2" t="s">
        <v>8</v>
      </c>
      <c r="D2" t="s">
        <v>9</v>
      </c>
      <c r="E2" s="2">
        <v>1200</v>
      </c>
      <c r="F2" s="4">
        <v>3</v>
      </c>
      <c r="G2" s="2">
        <v>300</v>
      </c>
      <c r="H2" t="str">
        <f>TEXT(Table1[[#This Row],[Date]],"mmm")</f>
        <v>Feb</v>
      </c>
    </row>
    <row r="3" spans="1:10" x14ac:dyDescent="0.25">
      <c r="A3" s="1">
        <v>46082</v>
      </c>
      <c r="B3" t="s">
        <v>10</v>
      </c>
      <c r="C3" t="s">
        <v>11</v>
      </c>
      <c r="D3" t="s">
        <v>12</v>
      </c>
      <c r="E3" s="2">
        <v>150</v>
      </c>
      <c r="F3" s="4">
        <v>5</v>
      </c>
      <c r="G3" s="2">
        <v>50</v>
      </c>
      <c r="H3" t="str">
        <f>TEXT(Table1[[#This Row],[Date]],"mmm")</f>
        <v>Mar</v>
      </c>
    </row>
    <row r="4" spans="1:10" x14ac:dyDescent="0.25">
      <c r="A4" s="1">
        <v>46113</v>
      </c>
      <c r="B4" t="s">
        <v>13</v>
      </c>
      <c r="C4" t="s">
        <v>8</v>
      </c>
      <c r="D4" t="s">
        <v>14</v>
      </c>
      <c r="E4" s="2">
        <v>800</v>
      </c>
      <c r="F4" s="4">
        <v>4</v>
      </c>
      <c r="G4" s="2">
        <v>200</v>
      </c>
      <c r="H4" t="str">
        <f>TEXT(Table1[[#This Row],[Date]],"mmm")</f>
        <v>Apr</v>
      </c>
    </row>
    <row r="5" spans="1:10" x14ac:dyDescent="0.25">
      <c r="A5" s="1">
        <v>46143</v>
      </c>
      <c r="B5" t="s">
        <v>15</v>
      </c>
      <c r="C5" t="s">
        <v>11</v>
      </c>
      <c r="D5" t="s">
        <v>16</v>
      </c>
      <c r="E5" s="2">
        <v>600</v>
      </c>
      <c r="F5" s="4">
        <v>2</v>
      </c>
      <c r="G5" s="2">
        <v>120</v>
      </c>
      <c r="H5" t="str">
        <f>TEXT(Table1[[#This Row],[Date]],"mmm")</f>
        <v>May</v>
      </c>
    </row>
    <row r="6" spans="1:10" x14ac:dyDescent="0.25">
      <c r="A6" s="1">
        <v>46174</v>
      </c>
      <c r="B6" t="s">
        <v>17</v>
      </c>
      <c r="C6" t="s">
        <v>8</v>
      </c>
      <c r="D6" t="s">
        <v>9</v>
      </c>
      <c r="E6" s="2">
        <v>300</v>
      </c>
      <c r="F6" s="4">
        <v>3</v>
      </c>
      <c r="G6" s="2">
        <v>60</v>
      </c>
      <c r="H6" t="str">
        <f>TEXT(Table1[[#This Row],[Date]],"mmm")</f>
        <v>Jun</v>
      </c>
    </row>
    <row r="7" spans="1:10" x14ac:dyDescent="0.25">
      <c r="A7" s="1">
        <v>46204</v>
      </c>
      <c r="B7" t="s">
        <v>18</v>
      </c>
      <c r="C7" t="s">
        <v>11</v>
      </c>
      <c r="D7" t="s">
        <v>12</v>
      </c>
      <c r="E7" s="2">
        <v>250</v>
      </c>
      <c r="F7" s="4">
        <v>2</v>
      </c>
      <c r="G7" s="2">
        <v>50</v>
      </c>
      <c r="H7" t="str">
        <f>TEXT(Table1[[#This Row],[Date]],"mmm")</f>
        <v>Jul</v>
      </c>
    </row>
    <row r="8" spans="1:10" x14ac:dyDescent="0.25">
      <c r="A8" s="1">
        <v>46235</v>
      </c>
      <c r="B8" t="s">
        <v>19</v>
      </c>
      <c r="C8" t="s">
        <v>8</v>
      </c>
      <c r="D8" t="s">
        <v>14</v>
      </c>
      <c r="E8" s="2">
        <v>150</v>
      </c>
      <c r="F8" s="4">
        <v>5</v>
      </c>
      <c r="G8" s="2">
        <v>45</v>
      </c>
      <c r="H8" t="str">
        <f>TEXT(Table1[[#This Row],[Date]],"mmm")</f>
        <v>Aug</v>
      </c>
      <c r="J8" s="2"/>
    </row>
    <row r="9" spans="1:10" x14ac:dyDescent="0.25">
      <c r="A9" s="1">
        <v>46266</v>
      </c>
      <c r="B9" t="s">
        <v>7</v>
      </c>
      <c r="C9" t="s">
        <v>8</v>
      </c>
      <c r="D9" t="s">
        <v>16</v>
      </c>
      <c r="E9" s="2">
        <v>1300</v>
      </c>
      <c r="F9" s="4">
        <v>2</v>
      </c>
      <c r="G9" s="2">
        <v>320</v>
      </c>
      <c r="H9" t="str">
        <f>TEXT(Table1[[#This Row],[Date]],"mmm")</f>
        <v>Sep</v>
      </c>
    </row>
    <row r="10" spans="1:10" x14ac:dyDescent="0.25">
      <c r="A10" s="1">
        <v>46296</v>
      </c>
      <c r="B10" t="s">
        <v>10</v>
      </c>
      <c r="C10" t="s">
        <v>11</v>
      </c>
      <c r="D10" t="s">
        <v>9</v>
      </c>
      <c r="E10" s="2">
        <v>200</v>
      </c>
      <c r="F10" s="4">
        <v>3</v>
      </c>
      <c r="G10" s="2">
        <v>60</v>
      </c>
      <c r="H10" t="str">
        <f>TEXT(Table1[[#This Row],[Date]],"mmm")</f>
        <v>Oct</v>
      </c>
    </row>
    <row r="11" spans="1:10" x14ac:dyDescent="0.25">
      <c r="A11" s="1">
        <v>46327</v>
      </c>
      <c r="B11" t="s">
        <v>13</v>
      </c>
      <c r="C11" t="s">
        <v>8</v>
      </c>
      <c r="D11" t="s">
        <v>12</v>
      </c>
      <c r="E11" s="2">
        <v>750</v>
      </c>
      <c r="F11" s="4">
        <v>2</v>
      </c>
      <c r="G11" s="2">
        <v>180</v>
      </c>
      <c r="H11" t="str">
        <f>TEXT(Table1[[#This Row],[Date]],"mmm")</f>
        <v>Nov</v>
      </c>
    </row>
    <row r="12" spans="1:10" x14ac:dyDescent="0.25">
      <c r="A12" s="1">
        <v>46357</v>
      </c>
      <c r="B12" t="s">
        <v>15</v>
      </c>
      <c r="C12" t="s">
        <v>11</v>
      </c>
      <c r="D12" t="s">
        <v>14</v>
      </c>
      <c r="E12" s="2">
        <v>550</v>
      </c>
      <c r="F12" s="4">
        <v>2</v>
      </c>
      <c r="G12" s="2">
        <v>110</v>
      </c>
      <c r="H12" t="str">
        <f>TEXT(Table1[[#This Row],[Date]],"mmm")</f>
        <v>Dec</v>
      </c>
    </row>
    <row r="13" spans="1:10" x14ac:dyDescent="0.25">
      <c r="A13" s="1">
        <v>46035</v>
      </c>
      <c r="B13" t="s">
        <v>17</v>
      </c>
      <c r="C13" t="s">
        <v>8</v>
      </c>
      <c r="D13" t="s">
        <v>16</v>
      </c>
      <c r="E13" s="2">
        <v>350</v>
      </c>
      <c r="F13" s="4">
        <v>3</v>
      </c>
      <c r="G13" s="2">
        <v>70</v>
      </c>
      <c r="H13" t="str">
        <f>TEXT(Table1[[#This Row],[Date]],"mmm")</f>
        <v>Jan</v>
      </c>
    </row>
    <row r="14" spans="1:10" x14ac:dyDescent="0.25">
      <c r="A14" s="1">
        <v>46036</v>
      </c>
      <c r="B14" t="s">
        <v>18</v>
      </c>
      <c r="C14" t="s">
        <v>11</v>
      </c>
      <c r="D14" t="s">
        <v>9</v>
      </c>
      <c r="E14" s="2">
        <v>300</v>
      </c>
      <c r="F14" s="4">
        <v>2</v>
      </c>
      <c r="G14" s="2">
        <v>60</v>
      </c>
      <c r="H14" t="str">
        <f>TEXT(Table1[[#This Row],[Date]],"mmm")</f>
        <v>Jan</v>
      </c>
    </row>
    <row r="15" spans="1:10" x14ac:dyDescent="0.25">
      <c r="A15" s="1">
        <v>46037</v>
      </c>
      <c r="B15" t="s">
        <v>19</v>
      </c>
      <c r="C15" t="s">
        <v>8</v>
      </c>
      <c r="D15" t="s">
        <v>12</v>
      </c>
      <c r="E15" s="2">
        <v>180</v>
      </c>
      <c r="F15" s="4">
        <v>4</v>
      </c>
      <c r="G15" s="2">
        <v>50</v>
      </c>
      <c r="H15" t="str">
        <f>TEXT(Table1[[#This Row],[Date]],"mmm")</f>
        <v>Jan</v>
      </c>
    </row>
    <row r="16" spans="1:10" x14ac:dyDescent="0.25">
      <c r="A16" s="1">
        <v>46038</v>
      </c>
      <c r="B16" t="s">
        <v>7</v>
      </c>
      <c r="C16" t="s">
        <v>8</v>
      </c>
      <c r="D16" t="s">
        <v>14</v>
      </c>
      <c r="E16" s="2">
        <v>1250</v>
      </c>
      <c r="F16" s="4">
        <v>3</v>
      </c>
      <c r="G16" s="2">
        <v>310</v>
      </c>
      <c r="H16" t="str">
        <f>TEXT(Table1[[#This Row],[Date]],"mmm")</f>
        <v>Jan</v>
      </c>
    </row>
    <row r="17" spans="1:8" x14ac:dyDescent="0.25">
      <c r="A17" s="1">
        <v>46039</v>
      </c>
      <c r="B17" t="s">
        <v>10</v>
      </c>
      <c r="C17" t="s">
        <v>11</v>
      </c>
      <c r="D17" t="s">
        <v>16</v>
      </c>
      <c r="E17" s="2">
        <v>220</v>
      </c>
      <c r="F17" s="4">
        <v>3</v>
      </c>
      <c r="G17" s="2">
        <v>55</v>
      </c>
      <c r="H17" t="str">
        <f>TEXT(Table1[[#This Row],[Date]],"mmm")</f>
        <v>Jan</v>
      </c>
    </row>
    <row r="18" spans="1:8" x14ac:dyDescent="0.25">
      <c r="A18" s="1">
        <v>46040</v>
      </c>
      <c r="B18" t="s">
        <v>13</v>
      </c>
      <c r="C18" t="s">
        <v>8</v>
      </c>
      <c r="D18" t="s">
        <v>9</v>
      </c>
      <c r="E18" s="2">
        <v>780</v>
      </c>
      <c r="F18" s="4">
        <v>4</v>
      </c>
      <c r="G18" s="2">
        <v>195</v>
      </c>
      <c r="H18" t="str">
        <f>TEXT(Table1[[#This Row],[Date]],"mmm")</f>
        <v>Jan</v>
      </c>
    </row>
    <row r="19" spans="1:8" x14ac:dyDescent="0.25">
      <c r="A19" s="1">
        <v>46041</v>
      </c>
      <c r="B19" t="s">
        <v>15</v>
      </c>
      <c r="C19" t="s">
        <v>11</v>
      </c>
      <c r="D19" t="s">
        <v>12</v>
      </c>
      <c r="E19" s="2">
        <v>620</v>
      </c>
      <c r="F19" s="4">
        <v>2</v>
      </c>
      <c r="G19" s="2">
        <v>125</v>
      </c>
      <c r="H19" t="str">
        <f>TEXT(Table1[[#This Row],[Date]],"mmm")</f>
        <v>Jan</v>
      </c>
    </row>
    <row r="20" spans="1:8" x14ac:dyDescent="0.25">
      <c r="A20" s="1">
        <v>46042</v>
      </c>
      <c r="B20" t="s">
        <v>17</v>
      </c>
      <c r="C20" t="s">
        <v>8</v>
      </c>
      <c r="D20" t="s">
        <v>14</v>
      </c>
      <c r="E20" s="2">
        <v>330</v>
      </c>
      <c r="F20" s="4">
        <v>3</v>
      </c>
      <c r="G20" s="2">
        <v>66</v>
      </c>
      <c r="H20" t="str">
        <f>TEXT(Table1[[#This Row],[Date]],"mmm")</f>
        <v>Jan</v>
      </c>
    </row>
    <row r="21" spans="1:8" x14ac:dyDescent="0.25">
      <c r="A21" s="1">
        <v>46043</v>
      </c>
      <c r="B21" t="s">
        <v>18</v>
      </c>
      <c r="C21" t="s">
        <v>11</v>
      </c>
      <c r="D21" t="s">
        <v>16</v>
      </c>
      <c r="E21" s="2">
        <v>270</v>
      </c>
      <c r="F21" s="4">
        <v>2</v>
      </c>
      <c r="G21" s="2">
        <v>54</v>
      </c>
      <c r="H21" t="str">
        <f>TEXT(Table1[[#This Row],[Date]],"mmm")</f>
        <v>Jan</v>
      </c>
    </row>
    <row r="22" spans="1:8" x14ac:dyDescent="0.25">
      <c r="A22" s="1">
        <v>46044</v>
      </c>
      <c r="B22" t="s">
        <v>19</v>
      </c>
      <c r="C22" t="s">
        <v>8</v>
      </c>
      <c r="D22" t="s">
        <v>9</v>
      </c>
      <c r="E22" s="2">
        <v>160</v>
      </c>
      <c r="F22" s="4">
        <v>4</v>
      </c>
      <c r="G22" s="2">
        <v>48</v>
      </c>
      <c r="H22" t="str">
        <f>TEXT(Table1[[#This Row],[Date]],"mmm")</f>
        <v>Jan</v>
      </c>
    </row>
    <row r="23" spans="1:8" x14ac:dyDescent="0.25">
      <c r="A23" s="1">
        <v>46045</v>
      </c>
      <c r="B23" t="s">
        <v>7</v>
      </c>
      <c r="C23" t="s">
        <v>8</v>
      </c>
      <c r="D23" t="s">
        <v>12</v>
      </c>
      <c r="E23" s="2">
        <v>1350</v>
      </c>
      <c r="F23" s="4">
        <v>3</v>
      </c>
      <c r="G23" s="2">
        <v>340</v>
      </c>
      <c r="H23" t="str">
        <f>TEXT(Table1[[#This Row],[Date]],"mmm")</f>
        <v>Jan</v>
      </c>
    </row>
    <row r="24" spans="1:8" x14ac:dyDescent="0.25">
      <c r="A24" s="1">
        <v>46046</v>
      </c>
      <c r="B24" t="s">
        <v>10</v>
      </c>
      <c r="C24" t="s">
        <v>11</v>
      </c>
      <c r="D24" t="s">
        <v>14</v>
      </c>
      <c r="E24" s="2">
        <v>210</v>
      </c>
      <c r="F24" s="4">
        <v>3</v>
      </c>
      <c r="G24" s="2">
        <v>55</v>
      </c>
      <c r="H24" t="str">
        <f>TEXT(Table1[[#This Row],[Date]],"mmm")</f>
        <v>Jan</v>
      </c>
    </row>
    <row r="25" spans="1:8" x14ac:dyDescent="0.25">
      <c r="A25" s="1">
        <v>46047</v>
      </c>
      <c r="B25" t="s">
        <v>13</v>
      </c>
      <c r="C25" t="s">
        <v>8</v>
      </c>
      <c r="D25" t="s">
        <v>16</v>
      </c>
      <c r="E25" s="2">
        <v>800</v>
      </c>
      <c r="F25" s="4">
        <v>4</v>
      </c>
      <c r="G25" s="2">
        <v>200</v>
      </c>
      <c r="H25" t="str">
        <f>TEXT(Table1[[#This Row],[Date]],"mmm")</f>
        <v>Jan</v>
      </c>
    </row>
    <row r="26" spans="1:8" x14ac:dyDescent="0.25">
      <c r="A26" s="1">
        <v>46048</v>
      </c>
      <c r="B26" t="s">
        <v>15</v>
      </c>
      <c r="C26" t="s">
        <v>11</v>
      </c>
      <c r="D26" t="s">
        <v>9</v>
      </c>
      <c r="E26" s="2">
        <v>590</v>
      </c>
      <c r="F26" s="4">
        <v>2</v>
      </c>
      <c r="G26" s="2">
        <v>120</v>
      </c>
      <c r="H26" t="str">
        <f>TEXT(Table1[[#This Row],[Date]],"mmm")</f>
        <v>Jan</v>
      </c>
    </row>
    <row r="27" spans="1:8" x14ac:dyDescent="0.25">
      <c r="A27" s="1">
        <v>46049</v>
      </c>
      <c r="B27" t="s">
        <v>17</v>
      </c>
      <c r="C27" t="s">
        <v>8</v>
      </c>
      <c r="D27" t="s">
        <v>12</v>
      </c>
      <c r="E27" s="2">
        <v>310</v>
      </c>
      <c r="F27" s="4">
        <v>3</v>
      </c>
      <c r="G27" s="2">
        <v>62</v>
      </c>
      <c r="H27" t="str">
        <f>TEXT(Table1[[#This Row],[Date]],"mmm")</f>
        <v>Jan</v>
      </c>
    </row>
    <row r="28" spans="1:8" x14ac:dyDescent="0.25">
      <c r="A28" s="1">
        <v>46050</v>
      </c>
      <c r="B28" t="s">
        <v>18</v>
      </c>
      <c r="C28" t="s">
        <v>11</v>
      </c>
      <c r="D28" t="s">
        <v>14</v>
      </c>
      <c r="E28" s="2">
        <v>260</v>
      </c>
      <c r="F28" s="4">
        <v>2</v>
      </c>
      <c r="G28" s="2">
        <v>52</v>
      </c>
      <c r="H28" t="str">
        <f>TEXT(Table1[[#This Row],[Date]],"mmm")</f>
        <v>Jan</v>
      </c>
    </row>
    <row r="29" spans="1:8" x14ac:dyDescent="0.25">
      <c r="A29" s="1">
        <v>46051</v>
      </c>
      <c r="B29" t="s">
        <v>19</v>
      </c>
      <c r="C29" t="s">
        <v>8</v>
      </c>
      <c r="D29" t="s">
        <v>16</v>
      </c>
      <c r="E29" s="2">
        <v>170</v>
      </c>
      <c r="F29" s="4">
        <v>4</v>
      </c>
      <c r="G29" s="2">
        <v>51</v>
      </c>
      <c r="H29" t="str">
        <f>TEXT(Table1[[#This Row],[Date]],"mmm")</f>
        <v>Jan</v>
      </c>
    </row>
    <row r="30" spans="1:8" x14ac:dyDescent="0.25">
      <c r="A30" s="1">
        <v>46052</v>
      </c>
      <c r="B30" t="s">
        <v>7</v>
      </c>
      <c r="C30" t="s">
        <v>8</v>
      </c>
      <c r="D30" t="s">
        <v>9</v>
      </c>
      <c r="E30" s="2">
        <v>1280</v>
      </c>
      <c r="F30" s="4">
        <v>3</v>
      </c>
      <c r="G30" s="2">
        <v>320</v>
      </c>
      <c r="H30" t="str">
        <f>TEXT(Table1[[#This Row],[Date]],"mmm")</f>
        <v>Jan</v>
      </c>
    </row>
    <row r="31" spans="1:8" x14ac:dyDescent="0.25">
      <c r="A31" s="1">
        <v>46053</v>
      </c>
      <c r="B31" t="s">
        <v>10</v>
      </c>
      <c r="C31" t="s">
        <v>11</v>
      </c>
      <c r="D31" t="s">
        <v>12</v>
      </c>
      <c r="E31" s="2">
        <v>190</v>
      </c>
      <c r="F31" s="4">
        <v>3</v>
      </c>
      <c r="G31" s="2">
        <v>50</v>
      </c>
      <c r="H31" t="str">
        <f>TEXT(Table1[[#This Row],[Date]],"mmm")</f>
        <v>Jan</v>
      </c>
    </row>
    <row r="32" spans="1:8" x14ac:dyDescent="0.25">
      <c r="A32" s="1">
        <v>46024</v>
      </c>
      <c r="B32" t="s">
        <v>13</v>
      </c>
      <c r="C32" t="s">
        <v>8</v>
      </c>
      <c r="D32" t="s">
        <v>14</v>
      </c>
      <c r="E32" s="2">
        <v>820</v>
      </c>
      <c r="F32" s="4">
        <v>4</v>
      </c>
      <c r="G32" s="2">
        <v>205</v>
      </c>
      <c r="H32" t="str">
        <f>TEXT(Table1[[#This Row],[Date]],"mmm")</f>
        <v>Jan</v>
      </c>
    </row>
    <row r="33" spans="1:8" x14ac:dyDescent="0.25">
      <c r="A33" s="1">
        <v>46055</v>
      </c>
      <c r="B33" t="s">
        <v>15</v>
      </c>
      <c r="C33" t="s">
        <v>11</v>
      </c>
      <c r="D33" t="s">
        <v>16</v>
      </c>
      <c r="E33" s="2">
        <v>600</v>
      </c>
      <c r="F33" s="4">
        <v>2</v>
      </c>
      <c r="G33" s="2">
        <v>125</v>
      </c>
      <c r="H33" t="str">
        <f>TEXT(Table1[[#This Row],[Date]],"mmm")</f>
        <v>Feb</v>
      </c>
    </row>
    <row r="34" spans="1:8" x14ac:dyDescent="0.25">
      <c r="A34" s="1">
        <v>46083</v>
      </c>
      <c r="B34" t="s">
        <v>17</v>
      </c>
      <c r="C34" t="s">
        <v>8</v>
      </c>
      <c r="D34" t="s">
        <v>9</v>
      </c>
      <c r="E34" s="2">
        <v>340</v>
      </c>
      <c r="F34" s="4">
        <v>3</v>
      </c>
      <c r="G34" s="2">
        <v>68</v>
      </c>
      <c r="H34" t="str">
        <f>TEXT(Table1[[#This Row],[Date]],"mmm")</f>
        <v>Mar</v>
      </c>
    </row>
    <row r="35" spans="1:8" x14ac:dyDescent="0.25">
      <c r="A35" s="1">
        <v>46114</v>
      </c>
      <c r="B35" t="s">
        <v>18</v>
      </c>
      <c r="C35" t="s">
        <v>11</v>
      </c>
      <c r="D35" t="s">
        <v>12</v>
      </c>
      <c r="E35" s="2">
        <v>280</v>
      </c>
      <c r="F35" s="4">
        <v>2</v>
      </c>
      <c r="G35" s="2">
        <v>56</v>
      </c>
      <c r="H35" t="str">
        <f>TEXT(Table1[[#This Row],[Date]],"mmm")</f>
        <v>Apr</v>
      </c>
    </row>
    <row r="36" spans="1:8" x14ac:dyDescent="0.25">
      <c r="A36" s="1">
        <v>46144</v>
      </c>
      <c r="B36" t="s">
        <v>19</v>
      </c>
      <c r="C36" t="s">
        <v>8</v>
      </c>
      <c r="D36" t="s">
        <v>14</v>
      </c>
      <c r="E36" s="2">
        <v>150</v>
      </c>
      <c r="F36" s="4">
        <v>5</v>
      </c>
      <c r="G36" s="2">
        <v>45</v>
      </c>
      <c r="H36" t="str">
        <f>TEXT(Table1[[#This Row],[Date]],"mmm")</f>
        <v>May</v>
      </c>
    </row>
    <row r="37" spans="1:8" x14ac:dyDescent="0.25">
      <c r="A37" s="1">
        <v>46175</v>
      </c>
      <c r="B37" t="s">
        <v>7</v>
      </c>
      <c r="C37" t="s">
        <v>8</v>
      </c>
      <c r="D37" t="s">
        <v>16</v>
      </c>
      <c r="E37" s="2">
        <v>1300</v>
      </c>
      <c r="F37" s="4">
        <v>3</v>
      </c>
      <c r="G37" s="2">
        <v>330</v>
      </c>
      <c r="H37" t="str">
        <f>TEXT(Table1[[#This Row],[Date]],"mmm")</f>
        <v>Jun</v>
      </c>
    </row>
    <row r="38" spans="1:8" x14ac:dyDescent="0.25">
      <c r="A38" s="1">
        <v>46205</v>
      </c>
      <c r="B38" t="s">
        <v>10</v>
      </c>
      <c r="C38" t="s">
        <v>11</v>
      </c>
      <c r="D38" t="s">
        <v>9</v>
      </c>
      <c r="E38" s="2">
        <v>200</v>
      </c>
      <c r="F38" s="4">
        <v>3</v>
      </c>
      <c r="G38" s="2">
        <v>60</v>
      </c>
      <c r="H38" t="str">
        <f>TEXT(Table1[[#This Row],[Date]],"mmm")</f>
        <v>Jul</v>
      </c>
    </row>
    <row r="39" spans="1:8" x14ac:dyDescent="0.25">
      <c r="A39" s="1">
        <v>46236</v>
      </c>
      <c r="B39" t="s">
        <v>13</v>
      </c>
      <c r="C39" t="s">
        <v>8</v>
      </c>
      <c r="D39" t="s">
        <v>12</v>
      </c>
      <c r="E39" s="2">
        <v>770</v>
      </c>
      <c r="F39" s="4">
        <v>4</v>
      </c>
      <c r="G39" s="2">
        <v>190</v>
      </c>
      <c r="H39" t="str">
        <f>TEXT(Table1[[#This Row],[Date]],"mmm")</f>
        <v>Aug</v>
      </c>
    </row>
    <row r="40" spans="1:8" x14ac:dyDescent="0.25">
      <c r="A40" s="1">
        <v>46267</v>
      </c>
      <c r="B40" t="s">
        <v>15</v>
      </c>
      <c r="C40" t="s">
        <v>11</v>
      </c>
      <c r="D40" t="s">
        <v>14</v>
      </c>
      <c r="E40" s="2">
        <v>610</v>
      </c>
      <c r="F40" s="4">
        <v>2</v>
      </c>
      <c r="G40" s="2">
        <v>125</v>
      </c>
      <c r="H40" t="str">
        <f>TEXT(Table1[[#This Row],[Date]],"mmm")</f>
        <v>Sep</v>
      </c>
    </row>
    <row r="41" spans="1:8" x14ac:dyDescent="0.25">
      <c r="A41" s="1">
        <v>46297</v>
      </c>
      <c r="B41" t="s">
        <v>17</v>
      </c>
      <c r="C41" t="s">
        <v>8</v>
      </c>
      <c r="D41" t="s">
        <v>16</v>
      </c>
      <c r="E41" s="2">
        <v>350</v>
      </c>
      <c r="F41" s="4">
        <v>3</v>
      </c>
      <c r="G41" s="2">
        <v>70</v>
      </c>
      <c r="H41" t="str">
        <f>TEXT(Table1[[#This Row],[Date]],"mmm")</f>
        <v>Oct</v>
      </c>
    </row>
    <row r="42" spans="1:8" x14ac:dyDescent="0.25">
      <c r="A42" s="1">
        <v>46328</v>
      </c>
      <c r="B42" t="s">
        <v>18</v>
      </c>
      <c r="C42" t="s">
        <v>11</v>
      </c>
      <c r="D42" t="s">
        <v>9</v>
      </c>
      <c r="E42" s="2">
        <v>250</v>
      </c>
      <c r="F42" s="4">
        <v>2</v>
      </c>
      <c r="G42" s="2">
        <v>50</v>
      </c>
      <c r="H42" t="str">
        <f>TEXT(Table1[[#This Row],[Date]],"mmm")</f>
        <v>Nov</v>
      </c>
    </row>
    <row r="43" spans="1:8" x14ac:dyDescent="0.25">
      <c r="A43" s="1">
        <v>46358</v>
      </c>
      <c r="B43" t="s">
        <v>19</v>
      </c>
      <c r="C43" t="s">
        <v>8</v>
      </c>
      <c r="D43" t="s">
        <v>12</v>
      </c>
      <c r="E43" s="2">
        <v>160</v>
      </c>
      <c r="F43" s="4">
        <v>4</v>
      </c>
      <c r="G43" s="2">
        <v>48</v>
      </c>
      <c r="H43" t="str">
        <f>TEXT(Table1[[#This Row],[Date]],"mmm")</f>
        <v>Dec</v>
      </c>
    </row>
    <row r="44" spans="1:8" x14ac:dyDescent="0.25">
      <c r="A44" s="1">
        <v>46066</v>
      </c>
      <c r="B44" t="s">
        <v>7</v>
      </c>
      <c r="C44" t="s">
        <v>8</v>
      </c>
      <c r="D44" t="s">
        <v>14</v>
      </c>
      <c r="E44" s="2">
        <v>1350</v>
      </c>
      <c r="F44" s="4">
        <v>3</v>
      </c>
      <c r="G44" s="2">
        <v>340</v>
      </c>
      <c r="H44" t="str">
        <f>TEXT(Table1[[#This Row],[Date]],"mmm")</f>
        <v>Feb</v>
      </c>
    </row>
    <row r="45" spans="1:8" x14ac:dyDescent="0.25">
      <c r="A45" s="1">
        <v>46067</v>
      </c>
      <c r="B45" t="s">
        <v>10</v>
      </c>
      <c r="C45" t="s">
        <v>11</v>
      </c>
      <c r="D45" t="s">
        <v>16</v>
      </c>
      <c r="E45" s="2">
        <v>220</v>
      </c>
      <c r="F45" s="4">
        <v>3</v>
      </c>
      <c r="G45" s="2">
        <v>55</v>
      </c>
      <c r="H45" t="str">
        <f>TEXT(Table1[[#This Row],[Date]],"mmm")</f>
        <v>Feb</v>
      </c>
    </row>
    <row r="46" spans="1:8" x14ac:dyDescent="0.25">
      <c r="A46" s="1">
        <v>46068</v>
      </c>
      <c r="B46" t="s">
        <v>13</v>
      </c>
      <c r="C46" t="s">
        <v>8</v>
      </c>
      <c r="D46" t="s">
        <v>9</v>
      </c>
      <c r="E46" s="2">
        <v>780</v>
      </c>
      <c r="F46" s="4">
        <v>4</v>
      </c>
      <c r="G46" s="2">
        <v>195</v>
      </c>
      <c r="H46" t="str">
        <f>TEXT(Table1[[#This Row],[Date]],"mmm")</f>
        <v>Feb</v>
      </c>
    </row>
    <row r="47" spans="1:8" x14ac:dyDescent="0.25">
      <c r="A47" s="1">
        <v>46069</v>
      </c>
      <c r="B47" t="s">
        <v>15</v>
      </c>
      <c r="C47" t="s">
        <v>11</v>
      </c>
      <c r="D47" t="s">
        <v>12</v>
      </c>
      <c r="E47" s="2">
        <v>620</v>
      </c>
      <c r="F47" s="4">
        <v>2</v>
      </c>
      <c r="G47" s="2">
        <v>125</v>
      </c>
      <c r="H47" t="str">
        <f>TEXT(Table1[[#This Row],[Date]],"mmm")</f>
        <v>Feb</v>
      </c>
    </row>
    <row r="48" spans="1:8" x14ac:dyDescent="0.25">
      <c r="A48" s="1">
        <v>46070</v>
      </c>
      <c r="B48" t="s">
        <v>17</v>
      </c>
      <c r="C48" t="s">
        <v>8</v>
      </c>
      <c r="D48" t="s">
        <v>14</v>
      </c>
      <c r="E48" s="2">
        <v>330</v>
      </c>
      <c r="F48" s="4">
        <v>3</v>
      </c>
      <c r="G48" s="2">
        <v>66</v>
      </c>
      <c r="H48" t="str">
        <f>TEXT(Table1[[#This Row],[Date]],"mmm")</f>
        <v>Feb</v>
      </c>
    </row>
    <row r="49" spans="1:8" x14ac:dyDescent="0.25">
      <c r="A49" s="1">
        <v>46071</v>
      </c>
      <c r="B49" t="s">
        <v>18</v>
      </c>
      <c r="C49" t="s">
        <v>11</v>
      </c>
      <c r="D49" t="s">
        <v>16</v>
      </c>
      <c r="E49" s="2">
        <v>270</v>
      </c>
      <c r="F49" s="4">
        <v>2</v>
      </c>
      <c r="G49" s="2">
        <v>54</v>
      </c>
      <c r="H49" t="str">
        <f>TEXT(Table1[[#This Row],[Date]],"mmm")</f>
        <v>Feb</v>
      </c>
    </row>
    <row r="50" spans="1:8" x14ac:dyDescent="0.25">
      <c r="A50" s="1">
        <v>46072</v>
      </c>
      <c r="B50" t="s">
        <v>19</v>
      </c>
      <c r="C50" t="s">
        <v>8</v>
      </c>
      <c r="D50" t="s">
        <v>9</v>
      </c>
      <c r="E50" s="2">
        <v>160</v>
      </c>
      <c r="F50" s="4">
        <v>4</v>
      </c>
      <c r="G50" s="2">
        <v>48</v>
      </c>
      <c r="H50" t="str">
        <f>TEXT(Table1[[#This Row],[Date]],"mmm")</f>
        <v>Feb</v>
      </c>
    </row>
    <row r="51" spans="1:8" x14ac:dyDescent="0.25">
      <c r="A51" s="1">
        <v>46073</v>
      </c>
      <c r="B51" t="s">
        <v>7</v>
      </c>
      <c r="C51" t="s">
        <v>8</v>
      </c>
      <c r="D51" t="s">
        <v>12</v>
      </c>
      <c r="E51" s="2">
        <v>1280</v>
      </c>
      <c r="F51" s="4">
        <v>3</v>
      </c>
      <c r="G51" s="2">
        <v>320</v>
      </c>
      <c r="H51" t="str">
        <f>TEXT(Table1[[#This Row],[Date]],"mmm")</f>
        <v>Feb</v>
      </c>
    </row>
    <row r="52" spans="1:8" x14ac:dyDescent="0.25">
      <c r="A52" s="1">
        <v>46074</v>
      </c>
      <c r="B52" t="s">
        <v>10</v>
      </c>
      <c r="C52" t="s">
        <v>11</v>
      </c>
      <c r="D52" t="s">
        <v>14</v>
      </c>
      <c r="E52" s="2">
        <v>210</v>
      </c>
      <c r="F52" s="4">
        <v>3</v>
      </c>
      <c r="G52" s="2">
        <v>55</v>
      </c>
      <c r="H52" t="str">
        <f>TEXT(Table1[[#This Row],[Date]],"mmm")</f>
        <v>Feb</v>
      </c>
    </row>
    <row r="53" spans="1:8" x14ac:dyDescent="0.25">
      <c r="A53" s="1">
        <v>46075</v>
      </c>
      <c r="B53" t="s">
        <v>13</v>
      </c>
      <c r="C53" t="s">
        <v>8</v>
      </c>
      <c r="D53" t="s">
        <v>16</v>
      </c>
      <c r="E53" s="2">
        <v>800</v>
      </c>
      <c r="F53" s="4">
        <v>4</v>
      </c>
      <c r="G53" s="2">
        <v>200</v>
      </c>
      <c r="H53" t="str">
        <f>TEXT(Table1[[#This Row],[Date]],"mmm")</f>
        <v>Feb</v>
      </c>
    </row>
    <row r="54" spans="1:8" x14ac:dyDescent="0.25">
      <c r="A54" s="1">
        <v>46076</v>
      </c>
      <c r="B54" t="s">
        <v>15</v>
      </c>
      <c r="C54" t="s">
        <v>11</v>
      </c>
      <c r="D54" t="s">
        <v>9</v>
      </c>
      <c r="E54" s="2">
        <v>590</v>
      </c>
      <c r="F54" s="4">
        <v>2</v>
      </c>
      <c r="G54" s="2">
        <v>120</v>
      </c>
      <c r="H54" t="str">
        <f>TEXT(Table1[[#This Row],[Date]],"mmm")</f>
        <v>Feb</v>
      </c>
    </row>
    <row r="55" spans="1:8" x14ac:dyDescent="0.25">
      <c r="A55" s="1">
        <v>46077</v>
      </c>
      <c r="B55" t="s">
        <v>17</v>
      </c>
      <c r="C55" t="s">
        <v>8</v>
      </c>
      <c r="D55" t="s">
        <v>12</v>
      </c>
      <c r="E55" s="2">
        <v>310</v>
      </c>
      <c r="F55" s="4">
        <v>3</v>
      </c>
      <c r="G55" s="2">
        <v>62</v>
      </c>
      <c r="H55" t="str">
        <f>TEXT(Table1[[#This Row],[Date]],"mmm")</f>
        <v>Feb</v>
      </c>
    </row>
    <row r="56" spans="1:8" x14ac:dyDescent="0.25">
      <c r="A56" s="1">
        <v>46078</v>
      </c>
      <c r="B56" t="s">
        <v>18</v>
      </c>
      <c r="C56" t="s">
        <v>11</v>
      </c>
      <c r="D56" t="s">
        <v>14</v>
      </c>
      <c r="E56" s="2">
        <v>260</v>
      </c>
      <c r="F56" s="4">
        <v>2</v>
      </c>
      <c r="G56" s="2">
        <v>52</v>
      </c>
      <c r="H56" t="str">
        <f>TEXT(Table1[[#This Row],[Date]],"mmm")</f>
        <v>Feb</v>
      </c>
    </row>
    <row r="57" spans="1:8" x14ac:dyDescent="0.25">
      <c r="A57" s="1">
        <v>46079</v>
      </c>
      <c r="B57" t="s">
        <v>19</v>
      </c>
      <c r="C57" t="s">
        <v>8</v>
      </c>
      <c r="D57" t="s">
        <v>16</v>
      </c>
      <c r="E57" s="2">
        <v>170</v>
      </c>
      <c r="F57" s="4">
        <v>4</v>
      </c>
      <c r="G57" s="2">
        <v>51</v>
      </c>
      <c r="H57" t="str">
        <f>TEXT(Table1[[#This Row],[Date]],"mmm")</f>
        <v>Feb</v>
      </c>
    </row>
    <row r="58" spans="1:8" x14ac:dyDescent="0.25">
      <c r="A58" s="1">
        <v>46080</v>
      </c>
      <c r="B58" t="s">
        <v>7</v>
      </c>
      <c r="C58" t="s">
        <v>8</v>
      </c>
      <c r="D58" t="s">
        <v>9</v>
      </c>
      <c r="E58" s="2">
        <v>1250</v>
      </c>
      <c r="F58" s="4">
        <v>3</v>
      </c>
      <c r="G58" s="2">
        <v>310</v>
      </c>
      <c r="H58" t="str">
        <f>TEXT(Table1[[#This Row],[Date]],"mmm")</f>
        <v>Feb</v>
      </c>
    </row>
    <row r="59" spans="1:8" x14ac:dyDescent="0.25">
      <c r="A59" s="1">
        <v>46081</v>
      </c>
      <c r="B59" t="s">
        <v>10</v>
      </c>
      <c r="C59" t="s">
        <v>11</v>
      </c>
      <c r="D59" t="s">
        <v>12</v>
      </c>
      <c r="E59" s="2">
        <v>200</v>
      </c>
      <c r="F59" s="4">
        <v>3</v>
      </c>
      <c r="G59" s="2">
        <v>60</v>
      </c>
      <c r="H59" t="str">
        <f>TEXT(Table1[[#This Row],[Date]],"mmm")</f>
        <v>Feb</v>
      </c>
    </row>
    <row r="60" spans="1:8" x14ac:dyDescent="0.25">
      <c r="A60" s="1">
        <v>46025</v>
      </c>
      <c r="B60" t="s">
        <v>13</v>
      </c>
      <c r="C60" t="s">
        <v>8</v>
      </c>
      <c r="D60" t="s">
        <v>14</v>
      </c>
      <c r="E60" s="2">
        <v>780</v>
      </c>
      <c r="F60" s="4">
        <v>4</v>
      </c>
      <c r="G60" s="2">
        <v>195</v>
      </c>
      <c r="H60" t="str">
        <f>TEXT(Table1[[#This Row],[Date]],"mmm")</f>
        <v>Jan</v>
      </c>
    </row>
    <row r="61" spans="1:8" x14ac:dyDescent="0.25">
      <c r="A61" s="1">
        <v>46056</v>
      </c>
      <c r="B61" t="s">
        <v>15</v>
      </c>
      <c r="C61" t="s">
        <v>11</v>
      </c>
      <c r="D61" t="s">
        <v>16</v>
      </c>
      <c r="E61" s="2">
        <v>600</v>
      </c>
      <c r="F61" s="4">
        <v>2</v>
      </c>
      <c r="G61" s="2">
        <v>125</v>
      </c>
      <c r="H61" t="str">
        <f>TEXT(Table1[[#This Row],[Date]],"mmm")</f>
        <v>Feb</v>
      </c>
    </row>
    <row r="62" spans="1:8" x14ac:dyDescent="0.25">
      <c r="A62" s="1">
        <v>46084</v>
      </c>
      <c r="B62" t="s">
        <v>17</v>
      </c>
      <c r="C62" t="s">
        <v>8</v>
      </c>
      <c r="D62" t="s">
        <v>9</v>
      </c>
      <c r="E62" s="2">
        <v>340</v>
      </c>
      <c r="F62" s="4">
        <v>3</v>
      </c>
      <c r="G62" s="2">
        <v>68</v>
      </c>
      <c r="H62" t="str">
        <f>TEXT(Table1[[#This Row],[Date]],"mmm")</f>
        <v>Mar</v>
      </c>
    </row>
    <row r="63" spans="1:8" x14ac:dyDescent="0.25">
      <c r="A63" s="1">
        <v>46115</v>
      </c>
      <c r="B63" t="s">
        <v>18</v>
      </c>
      <c r="C63" t="s">
        <v>11</v>
      </c>
      <c r="D63" t="s">
        <v>12</v>
      </c>
      <c r="E63" s="2">
        <v>280</v>
      </c>
      <c r="F63" s="4">
        <v>2</v>
      </c>
      <c r="G63" s="2">
        <v>56</v>
      </c>
      <c r="H63" t="str">
        <f>TEXT(Table1[[#This Row],[Date]],"mmm")</f>
        <v>Apr</v>
      </c>
    </row>
    <row r="64" spans="1:8" x14ac:dyDescent="0.25">
      <c r="A64" s="1">
        <v>46145</v>
      </c>
      <c r="B64" t="s">
        <v>19</v>
      </c>
      <c r="C64" t="s">
        <v>8</v>
      </c>
      <c r="D64" t="s">
        <v>14</v>
      </c>
      <c r="E64" s="2">
        <v>150</v>
      </c>
      <c r="F64" s="4">
        <v>5</v>
      </c>
      <c r="G64" s="2">
        <v>45</v>
      </c>
      <c r="H64" t="str">
        <f>TEXT(Table1[[#This Row],[Date]],"mmm")</f>
        <v>May</v>
      </c>
    </row>
    <row r="65" spans="1:8" x14ac:dyDescent="0.25">
      <c r="A65" s="1">
        <v>46176</v>
      </c>
      <c r="B65" t="s">
        <v>7</v>
      </c>
      <c r="C65" t="s">
        <v>8</v>
      </c>
      <c r="D65" t="s">
        <v>16</v>
      </c>
      <c r="E65" s="2">
        <v>1300</v>
      </c>
      <c r="F65" s="4">
        <v>3</v>
      </c>
      <c r="G65" s="2">
        <v>330</v>
      </c>
      <c r="H65" t="str">
        <f>TEXT(Table1[[#This Row],[Date]],"mmm")</f>
        <v>Jun</v>
      </c>
    </row>
    <row r="66" spans="1:8" x14ac:dyDescent="0.25">
      <c r="A66" s="1">
        <v>46206</v>
      </c>
      <c r="B66" t="s">
        <v>10</v>
      </c>
      <c r="C66" t="s">
        <v>11</v>
      </c>
      <c r="D66" t="s">
        <v>9</v>
      </c>
      <c r="E66" s="2">
        <v>200</v>
      </c>
      <c r="F66" s="4">
        <v>3</v>
      </c>
      <c r="G66" s="2">
        <v>60</v>
      </c>
      <c r="H66" t="str">
        <f>TEXT(Table1[[#This Row],[Date]],"mmm")</f>
        <v>Jul</v>
      </c>
    </row>
    <row r="67" spans="1:8" x14ac:dyDescent="0.25">
      <c r="A67" s="1">
        <v>46237</v>
      </c>
      <c r="B67" t="s">
        <v>13</v>
      </c>
      <c r="C67" t="s">
        <v>8</v>
      </c>
      <c r="D67" t="s">
        <v>12</v>
      </c>
      <c r="E67" s="2">
        <v>770</v>
      </c>
      <c r="F67" s="4">
        <v>4</v>
      </c>
      <c r="G67" s="2">
        <v>190</v>
      </c>
      <c r="H67" t="str">
        <f>TEXT(Table1[[#This Row],[Date]],"mmm")</f>
        <v>Aug</v>
      </c>
    </row>
    <row r="68" spans="1:8" x14ac:dyDescent="0.25">
      <c r="A68" s="1">
        <v>46268</v>
      </c>
      <c r="B68" t="s">
        <v>15</v>
      </c>
      <c r="C68" t="s">
        <v>11</v>
      </c>
      <c r="D68" t="s">
        <v>14</v>
      </c>
      <c r="E68" s="2">
        <v>610</v>
      </c>
      <c r="F68" s="4">
        <v>2</v>
      </c>
      <c r="G68" s="2">
        <v>125</v>
      </c>
      <c r="H68" t="str">
        <f>TEXT(Table1[[#This Row],[Date]],"mmm")</f>
        <v>Sep</v>
      </c>
    </row>
    <row r="69" spans="1:8" x14ac:dyDescent="0.25">
      <c r="A69" s="1">
        <v>46298</v>
      </c>
      <c r="B69" t="s">
        <v>17</v>
      </c>
      <c r="C69" t="s">
        <v>8</v>
      </c>
      <c r="D69" t="s">
        <v>16</v>
      </c>
      <c r="E69" s="2">
        <v>350</v>
      </c>
      <c r="F69" s="4">
        <v>3</v>
      </c>
      <c r="G69" s="2">
        <v>70</v>
      </c>
      <c r="H69" t="str">
        <f>TEXT(Table1[[#This Row],[Date]],"mmm")</f>
        <v>Oct</v>
      </c>
    </row>
    <row r="70" spans="1:8" x14ac:dyDescent="0.25">
      <c r="A70" s="1">
        <v>46329</v>
      </c>
      <c r="B70" t="s">
        <v>18</v>
      </c>
      <c r="C70" t="s">
        <v>11</v>
      </c>
      <c r="D70" t="s">
        <v>9</v>
      </c>
      <c r="E70" s="2">
        <v>250</v>
      </c>
      <c r="F70" s="4">
        <v>2</v>
      </c>
      <c r="G70" s="2">
        <v>50</v>
      </c>
      <c r="H70" t="str">
        <f>TEXT(Table1[[#This Row],[Date]],"mmm")</f>
        <v>Nov</v>
      </c>
    </row>
    <row r="71" spans="1:8" x14ac:dyDescent="0.25">
      <c r="A71" s="1">
        <v>46359</v>
      </c>
      <c r="B71" t="s">
        <v>19</v>
      </c>
      <c r="C71" t="s">
        <v>8</v>
      </c>
      <c r="D71" t="s">
        <v>12</v>
      </c>
      <c r="E71" s="2">
        <v>160</v>
      </c>
      <c r="F71" s="4">
        <v>4</v>
      </c>
      <c r="G71" s="2">
        <v>48</v>
      </c>
      <c r="H71" t="str">
        <f>TEXT(Table1[[#This Row],[Date]],"mmm")</f>
        <v>Dec</v>
      </c>
    </row>
    <row r="72" spans="1:8" x14ac:dyDescent="0.25">
      <c r="A72" s="1">
        <v>46094</v>
      </c>
      <c r="B72" t="s">
        <v>7</v>
      </c>
      <c r="C72" t="s">
        <v>8</v>
      </c>
      <c r="D72" t="s">
        <v>14</v>
      </c>
      <c r="E72" s="2">
        <v>1350</v>
      </c>
      <c r="F72" s="4">
        <v>3</v>
      </c>
      <c r="G72" s="2">
        <v>340</v>
      </c>
      <c r="H72" t="str">
        <f>TEXT(Table1[[#This Row],[Date]],"mmm")</f>
        <v>Mar</v>
      </c>
    </row>
    <row r="73" spans="1:8" x14ac:dyDescent="0.25">
      <c r="A73" s="1">
        <v>46095</v>
      </c>
      <c r="B73" t="s">
        <v>10</v>
      </c>
      <c r="C73" t="s">
        <v>11</v>
      </c>
      <c r="D73" t="s">
        <v>16</v>
      </c>
      <c r="E73" s="2">
        <v>220</v>
      </c>
      <c r="F73" s="4">
        <v>3</v>
      </c>
      <c r="G73" s="2">
        <v>55</v>
      </c>
      <c r="H73" t="str">
        <f>TEXT(Table1[[#This Row],[Date]],"mmm")</f>
        <v>Mar</v>
      </c>
    </row>
    <row r="74" spans="1:8" x14ac:dyDescent="0.25">
      <c r="A74" s="1">
        <v>46096</v>
      </c>
      <c r="B74" t="s">
        <v>13</v>
      </c>
      <c r="C74" t="s">
        <v>8</v>
      </c>
      <c r="D74" t="s">
        <v>9</v>
      </c>
      <c r="E74" s="2">
        <v>780</v>
      </c>
      <c r="F74" s="4">
        <v>4</v>
      </c>
      <c r="G74" s="2">
        <v>195</v>
      </c>
      <c r="H74" t="str">
        <f>TEXT(Table1[[#This Row],[Date]],"mmm")</f>
        <v>Mar</v>
      </c>
    </row>
    <row r="75" spans="1:8" x14ac:dyDescent="0.25">
      <c r="A75" s="1">
        <v>46097</v>
      </c>
      <c r="B75" t="s">
        <v>15</v>
      </c>
      <c r="C75" t="s">
        <v>11</v>
      </c>
      <c r="D75" t="s">
        <v>12</v>
      </c>
      <c r="E75" s="2">
        <v>620</v>
      </c>
      <c r="F75" s="4">
        <v>2</v>
      </c>
      <c r="G75" s="2">
        <v>125</v>
      </c>
      <c r="H75" t="str">
        <f>TEXT(Table1[[#This Row],[Date]],"mmm")</f>
        <v>Mar</v>
      </c>
    </row>
    <row r="76" spans="1:8" x14ac:dyDescent="0.25">
      <c r="A76" s="1">
        <v>46098</v>
      </c>
      <c r="B76" t="s">
        <v>17</v>
      </c>
      <c r="C76" t="s">
        <v>8</v>
      </c>
      <c r="D76" t="s">
        <v>14</v>
      </c>
      <c r="E76" s="2">
        <v>330</v>
      </c>
      <c r="F76" s="4">
        <v>3</v>
      </c>
      <c r="G76" s="2">
        <v>66</v>
      </c>
      <c r="H76" t="str">
        <f>TEXT(Table1[[#This Row],[Date]],"mmm")</f>
        <v>Mar</v>
      </c>
    </row>
    <row r="77" spans="1:8" x14ac:dyDescent="0.25">
      <c r="A77" s="1">
        <v>46099</v>
      </c>
      <c r="B77" t="s">
        <v>18</v>
      </c>
      <c r="C77" t="s">
        <v>11</v>
      </c>
      <c r="D77" t="s">
        <v>16</v>
      </c>
      <c r="E77" s="2">
        <v>270</v>
      </c>
      <c r="F77" s="4">
        <v>2</v>
      </c>
      <c r="G77" s="2">
        <v>54</v>
      </c>
      <c r="H77" t="str">
        <f>TEXT(Table1[[#This Row],[Date]],"mmm")</f>
        <v>Mar</v>
      </c>
    </row>
    <row r="78" spans="1:8" x14ac:dyDescent="0.25">
      <c r="A78" s="1">
        <v>46100</v>
      </c>
      <c r="B78" t="s">
        <v>19</v>
      </c>
      <c r="C78" t="s">
        <v>8</v>
      </c>
      <c r="D78" t="s">
        <v>9</v>
      </c>
      <c r="E78" s="2">
        <v>160</v>
      </c>
      <c r="F78" s="4">
        <v>4</v>
      </c>
      <c r="G78" s="2">
        <v>48</v>
      </c>
      <c r="H78" t="str">
        <f>TEXT(Table1[[#This Row],[Date]],"mmm")</f>
        <v>Mar</v>
      </c>
    </row>
    <row r="79" spans="1:8" x14ac:dyDescent="0.25">
      <c r="A79" s="1">
        <v>46101</v>
      </c>
      <c r="B79" t="s">
        <v>7</v>
      </c>
      <c r="C79" t="s">
        <v>8</v>
      </c>
      <c r="D79" t="s">
        <v>12</v>
      </c>
      <c r="E79" s="2">
        <v>1280</v>
      </c>
      <c r="F79" s="4">
        <v>3</v>
      </c>
      <c r="G79" s="2">
        <v>320</v>
      </c>
      <c r="H79" t="str">
        <f>TEXT(Table1[[#This Row],[Date]],"mmm")</f>
        <v>Mar</v>
      </c>
    </row>
    <row r="80" spans="1:8" x14ac:dyDescent="0.25">
      <c r="A80" s="1">
        <v>46102</v>
      </c>
      <c r="B80" t="s">
        <v>10</v>
      </c>
      <c r="C80" t="s">
        <v>11</v>
      </c>
      <c r="D80" t="s">
        <v>14</v>
      </c>
      <c r="E80" s="2">
        <v>210</v>
      </c>
      <c r="F80" s="4">
        <v>3</v>
      </c>
      <c r="G80" s="2">
        <v>55</v>
      </c>
      <c r="H80" t="str">
        <f>TEXT(Table1[[#This Row],[Date]],"mmm")</f>
        <v>Mar</v>
      </c>
    </row>
    <row r="81" spans="1:8" x14ac:dyDescent="0.25">
      <c r="A81" s="1">
        <v>46103</v>
      </c>
      <c r="B81" t="s">
        <v>13</v>
      </c>
      <c r="C81" t="s">
        <v>8</v>
      </c>
      <c r="D81" t="s">
        <v>16</v>
      </c>
      <c r="E81" s="2">
        <v>800</v>
      </c>
      <c r="F81" s="4">
        <v>4</v>
      </c>
      <c r="G81" s="2">
        <v>200</v>
      </c>
      <c r="H81" t="str">
        <f>TEXT(Table1[[#This Row],[Date]],"mmm")</f>
        <v>Mar</v>
      </c>
    </row>
    <row r="82" spans="1:8" x14ac:dyDescent="0.25">
      <c r="A82" s="1">
        <v>46104</v>
      </c>
      <c r="B82" t="s">
        <v>15</v>
      </c>
      <c r="C82" t="s">
        <v>11</v>
      </c>
      <c r="D82" t="s">
        <v>9</v>
      </c>
      <c r="E82" s="2">
        <v>590</v>
      </c>
      <c r="F82" s="4">
        <v>2</v>
      </c>
      <c r="G82" s="2">
        <v>120</v>
      </c>
      <c r="H82" t="str">
        <f>TEXT(Table1[[#This Row],[Date]],"mmm")</f>
        <v>Mar</v>
      </c>
    </row>
    <row r="83" spans="1:8" x14ac:dyDescent="0.25">
      <c r="A83" s="1">
        <v>46105</v>
      </c>
      <c r="B83" t="s">
        <v>17</v>
      </c>
      <c r="C83" t="s">
        <v>8</v>
      </c>
      <c r="D83" t="s">
        <v>12</v>
      </c>
      <c r="E83" s="2">
        <v>310</v>
      </c>
      <c r="F83" s="4">
        <v>3</v>
      </c>
      <c r="G83" s="2">
        <v>62</v>
      </c>
      <c r="H83" t="str">
        <f>TEXT(Table1[[#This Row],[Date]],"mmm")</f>
        <v>Mar</v>
      </c>
    </row>
    <row r="84" spans="1:8" x14ac:dyDescent="0.25">
      <c r="A84" s="1">
        <v>46106</v>
      </c>
      <c r="B84" t="s">
        <v>18</v>
      </c>
      <c r="C84" t="s">
        <v>11</v>
      </c>
      <c r="D84" t="s">
        <v>14</v>
      </c>
      <c r="E84" s="2">
        <v>260</v>
      </c>
      <c r="F84" s="4">
        <v>2</v>
      </c>
      <c r="G84" s="2">
        <v>52</v>
      </c>
      <c r="H84" t="str">
        <f>TEXT(Table1[[#This Row],[Date]],"mmm")</f>
        <v>Mar</v>
      </c>
    </row>
    <row r="85" spans="1:8" x14ac:dyDescent="0.25">
      <c r="A85" s="1">
        <v>46107</v>
      </c>
      <c r="B85" t="s">
        <v>19</v>
      </c>
      <c r="C85" t="s">
        <v>8</v>
      </c>
      <c r="D85" t="s">
        <v>16</v>
      </c>
      <c r="E85" s="2">
        <v>170</v>
      </c>
      <c r="F85" s="4">
        <v>4</v>
      </c>
      <c r="G85" s="2">
        <v>51</v>
      </c>
      <c r="H85" t="str">
        <f>TEXT(Table1[[#This Row],[Date]],"mmm")</f>
        <v>Mar</v>
      </c>
    </row>
    <row r="86" spans="1:8" x14ac:dyDescent="0.25">
      <c r="A86" s="1">
        <v>46108</v>
      </c>
      <c r="B86" t="s">
        <v>7</v>
      </c>
      <c r="C86" t="s">
        <v>8</v>
      </c>
      <c r="D86" t="s">
        <v>9</v>
      </c>
      <c r="E86" s="2">
        <v>1250</v>
      </c>
      <c r="F86" s="4">
        <v>3</v>
      </c>
      <c r="G86" s="2">
        <v>310</v>
      </c>
      <c r="H86" t="str">
        <f>TEXT(Table1[[#This Row],[Date]],"mmm")</f>
        <v>Mar</v>
      </c>
    </row>
    <row r="87" spans="1:8" x14ac:dyDescent="0.25">
      <c r="A87" s="1">
        <v>46109</v>
      </c>
      <c r="B87" t="s">
        <v>10</v>
      </c>
      <c r="C87" t="s">
        <v>11</v>
      </c>
      <c r="D87" t="s">
        <v>12</v>
      </c>
      <c r="E87" s="2">
        <v>200</v>
      </c>
      <c r="F87" s="4">
        <v>3</v>
      </c>
      <c r="G87" s="2">
        <v>60</v>
      </c>
      <c r="H87" t="str">
        <f>TEXT(Table1[[#This Row],[Date]],"mmm")</f>
        <v>Mar</v>
      </c>
    </row>
    <row r="88" spans="1:8" x14ac:dyDescent="0.25">
      <c r="A88" s="1">
        <v>46110</v>
      </c>
      <c r="B88" t="s">
        <v>13</v>
      </c>
      <c r="C88" t="s">
        <v>8</v>
      </c>
      <c r="D88" t="s">
        <v>14</v>
      </c>
      <c r="E88" s="2">
        <v>780</v>
      </c>
      <c r="F88" s="4">
        <v>4</v>
      </c>
      <c r="G88" s="2">
        <v>195</v>
      </c>
      <c r="H88" t="str">
        <f>TEXT(Table1[[#This Row],[Date]],"mmm")</f>
        <v>Mar</v>
      </c>
    </row>
    <row r="89" spans="1:8" x14ac:dyDescent="0.25">
      <c r="A89" s="1">
        <v>46111</v>
      </c>
      <c r="B89" t="s">
        <v>15</v>
      </c>
      <c r="C89" t="s">
        <v>11</v>
      </c>
      <c r="D89" t="s">
        <v>16</v>
      </c>
      <c r="E89" s="2">
        <v>600</v>
      </c>
      <c r="F89" s="4">
        <v>2</v>
      </c>
      <c r="G89" s="2">
        <v>125</v>
      </c>
      <c r="H89" t="str">
        <f>TEXT(Table1[[#This Row],[Date]],"mmm")</f>
        <v>Mar</v>
      </c>
    </row>
    <row r="90" spans="1:8" x14ac:dyDescent="0.25">
      <c r="A90" s="1">
        <v>46112</v>
      </c>
      <c r="B90" t="s">
        <v>17</v>
      </c>
      <c r="C90" t="s">
        <v>8</v>
      </c>
      <c r="D90" t="s">
        <v>9</v>
      </c>
      <c r="E90" s="2">
        <v>340</v>
      </c>
      <c r="F90" s="4">
        <v>3</v>
      </c>
      <c r="G90" s="2">
        <v>68</v>
      </c>
      <c r="H90" t="str">
        <f>TEXT(Table1[[#This Row],[Date]],"mmm")</f>
        <v>Mar</v>
      </c>
    </row>
    <row r="91" spans="1:8" x14ac:dyDescent="0.25">
      <c r="A91" s="1">
        <v>46026</v>
      </c>
      <c r="B91" t="s">
        <v>18</v>
      </c>
      <c r="C91" t="s">
        <v>11</v>
      </c>
      <c r="D91" t="s">
        <v>12</v>
      </c>
      <c r="E91" s="2">
        <v>280</v>
      </c>
      <c r="F91" s="4">
        <v>2</v>
      </c>
      <c r="G91" s="2">
        <v>56</v>
      </c>
      <c r="H91" t="str">
        <f>TEXT(Table1[[#This Row],[Date]],"mmm")</f>
        <v>Jan</v>
      </c>
    </row>
    <row r="92" spans="1:8" x14ac:dyDescent="0.25">
      <c r="A92" s="1">
        <v>46057</v>
      </c>
      <c r="B92" t="s">
        <v>19</v>
      </c>
      <c r="C92" t="s">
        <v>8</v>
      </c>
      <c r="D92" t="s">
        <v>14</v>
      </c>
      <c r="E92" s="2">
        <v>150</v>
      </c>
      <c r="F92" s="4">
        <v>5</v>
      </c>
      <c r="G92" s="2">
        <v>45</v>
      </c>
      <c r="H92" t="str">
        <f>TEXT(Table1[[#This Row],[Date]],"mmm")</f>
        <v>Feb</v>
      </c>
    </row>
    <row r="93" spans="1:8" x14ac:dyDescent="0.25">
      <c r="A93" s="1">
        <v>46085</v>
      </c>
      <c r="B93" t="s">
        <v>7</v>
      </c>
      <c r="C93" t="s">
        <v>8</v>
      </c>
      <c r="D93" t="s">
        <v>16</v>
      </c>
      <c r="E93" s="2">
        <v>1300</v>
      </c>
      <c r="F93" s="4">
        <v>3</v>
      </c>
      <c r="G93" s="2">
        <v>330</v>
      </c>
      <c r="H93" t="str">
        <f>TEXT(Table1[[#This Row],[Date]],"mmm")</f>
        <v>Mar</v>
      </c>
    </row>
    <row r="94" spans="1:8" x14ac:dyDescent="0.25">
      <c r="A94" s="1">
        <v>46116</v>
      </c>
      <c r="B94" t="s">
        <v>10</v>
      </c>
      <c r="C94" t="s">
        <v>11</v>
      </c>
      <c r="D94" t="s">
        <v>9</v>
      </c>
      <c r="E94" s="2">
        <v>200</v>
      </c>
      <c r="F94" s="4">
        <v>3</v>
      </c>
      <c r="G94" s="2">
        <v>60</v>
      </c>
      <c r="H94" t="str">
        <f>TEXT(Table1[[#This Row],[Date]],"mmm")</f>
        <v>Apr</v>
      </c>
    </row>
    <row r="95" spans="1:8" x14ac:dyDescent="0.25">
      <c r="A95" s="1">
        <v>46146</v>
      </c>
      <c r="B95" t="s">
        <v>13</v>
      </c>
      <c r="C95" t="s">
        <v>8</v>
      </c>
      <c r="D95" t="s">
        <v>12</v>
      </c>
      <c r="E95" s="2">
        <v>770</v>
      </c>
      <c r="F95" s="4">
        <v>4</v>
      </c>
      <c r="G95" s="2">
        <v>190</v>
      </c>
      <c r="H95" t="str">
        <f>TEXT(Table1[[#This Row],[Date]],"mmm")</f>
        <v>May</v>
      </c>
    </row>
    <row r="96" spans="1:8" x14ac:dyDescent="0.25">
      <c r="A96" s="1">
        <v>46177</v>
      </c>
      <c r="B96" t="s">
        <v>15</v>
      </c>
      <c r="C96" t="s">
        <v>11</v>
      </c>
      <c r="D96" t="s">
        <v>14</v>
      </c>
      <c r="E96" s="2">
        <v>610</v>
      </c>
      <c r="F96" s="4">
        <v>2</v>
      </c>
      <c r="G96" s="2">
        <v>125</v>
      </c>
      <c r="H96" t="str">
        <f>TEXT(Table1[[#This Row],[Date]],"mmm")</f>
        <v>Jun</v>
      </c>
    </row>
    <row r="97" spans="1:8" x14ac:dyDescent="0.25">
      <c r="A97" s="1">
        <v>46207</v>
      </c>
      <c r="B97" t="s">
        <v>17</v>
      </c>
      <c r="C97" t="s">
        <v>8</v>
      </c>
      <c r="D97" t="s">
        <v>16</v>
      </c>
      <c r="E97" s="2">
        <v>350</v>
      </c>
      <c r="F97" s="4">
        <v>3</v>
      </c>
      <c r="G97" s="2">
        <v>70</v>
      </c>
      <c r="H97" t="str">
        <f>TEXT(Table1[[#This Row],[Date]],"mmm")</f>
        <v>Jul</v>
      </c>
    </row>
    <row r="98" spans="1:8" x14ac:dyDescent="0.25">
      <c r="A98" s="1">
        <v>46238</v>
      </c>
      <c r="B98" t="s">
        <v>18</v>
      </c>
      <c r="C98" t="s">
        <v>11</v>
      </c>
      <c r="D98" t="s">
        <v>9</v>
      </c>
      <c r="E98" s="2">
        <v>250</v>
      </c>
      <c r="F98" s="4">
        <v>2</v>
      </c>
      <c r="G98" s="2">
        <v>50</v>
      </c>
      <c r="H98" t="str">
        <f>TEXT(Table1[[#This Row],[Date]],"mmm")</f>
        <v>Aug</v>
      </c>
    </row>
    <row r="99" spans="1:8" x14ac:dyDescent="0.25">
      <c r="A99" s="1">
        <v>46269</v>
      </c>
      <c r="B99" t="s">
        <v>19</v>
      </c>
      <c r="C99" t="s">
        <v>8</v>
      </c>
      <c r="D99" t="s">
        <v>12</v>
      </c>
      <c r="E99" s="2">
        <v>160</v>
      </c>
      <c r="F99" s="4">
        <v>4</v>
      </c>
      <c r="G99" s="2">
        <v>48</v>
      </c>
      <c r="H99" t="str">
        <f>TEXT(Table1[[#This Row],[Date]],"mmm")</f>
        <v>Sep</v>
      </c>
    </row>
    <row r="100" spans="1:8" x14ac:dyDescent="0.25">
      <c r="A100" s="1">
        <v>46299</v>
      </c>
      <c r="B100" t="s">
        <v>7</v>
      </c>
      <c r="C100" t="s">
        <v>8</v>
      </c>
      <c r="D100" t="s">
        <v>14</v>
      </c>
      <c r="E100" s="2">
        <v>1350</v>
      </c>
      <c r="F100" s="4">
        <v>3</v>
      </c>
      <c r="G100" s="2">
        <v>340</v>
      </c>
      <c r="H100" t="str">
        <f>TEXT(Table1[[#This Row],[Date]],"mmm")</f>
        <v>Oct</v>
      </c>
    </row>
    <row r="101" spans="1:8" x14ac:dyDescent="0.25">
      <c r="A101" s="1">
        <v>46330</v>
      </c>
      <c r="B101" t="s">
        <v>10</v>
      </c>
      <c r="C101" t="s">
        <v>11</v>
      </c>
      <c r="D101" t="s">
        <v>16</v>
      </c>
      <c r="E101" s="2">
        <v>220</v>
      </c>
      <c r="F101" s="4">
        <v>3</v>
      </c>
      <c r="G101" s="2">
        <v>55</v>
      </c>
      <c r="H101" t="str">
        <f>TEXT(Table1[[#This Row],[Date]],"mmm")</f>
        <v>Nov</v>
      </c>
    </row>
    <row r="102" spans="1:8" x14ac:dyDescent="0.25">
      <c r="A102" s="1">
        <v>46360</v>
      </c>
      <c r="B102" t="s">
        <v>13</v>
      </c>
      <c r="C102" t="s">
        <v>8</v>
      </c>
      <c r="D102" t="s">
        <v>9</v>
      </c>
      <c r="E102" s="2">
        <v>780</v>
      </c>
      <c r="F102" s="4">
        <v>4</v>
      </c>
      <c r="G102" s="2">
        <v>195</v>
      </c>
      <c r="H102" t="str">
        <f>TEXT(Table1[[#This Row],[Date]],"mmm")</f>
        <v>Dec</v>
      </c>
    </row>
    <row r="103" spans="1:8" x14ac:dyDescent="0.25">
      <c r="A103" s="1">
        <v>46125</v>
      </c>
      <c r="B103" t="s">
        <v>15</v>
      </c>
      <c r="C103" t="s">
        <v>11</v>
      </c>
      <c r="D103" t="s">
        <v>12</v>
      </c>
      <c r="E103" s="2">
        <v>620</v>
      </c>
      <c r="F103" s="4">
        <v>2</v>
      </c>
      <c r="G103" s="2">
        <v>125</v>
      </c>
      <c r="H103" t="str">
        <f>TEXT(Table1[[#This Row],[Date]],"mmm")</f>
        <v>Apr</v>
      </c>
    </row>
    <row r="104" spans="1:8" x14ac:dyDescent="0.25">
      <c r="A104" s="1">
        <v>46126</v>
      </c>
      <c r="B104" t="s">
        <v>17</v>
      </c>
      <c r="C104" t="s">
        <v>8</v>
      </c>
      <c r="D104" t="s">
        <v>14</v>
      </c>
      <c r="E104" s="2">
        <v>330</v>
      </c>
      <c r="F104" s="4">
        <v>3</v>
      </c>
      <c r="G104" s="2">
        <v>66</v>
      </c>
      <c r="H104" t="str">
        <f>TEXT(Table1[[#This Row],[Date]],"mmm")</f>
        <v>Apr</v>
      </c>
    </row>
    <row r="105" spans="1:8" x14ac:dyDescent="0.25">
      <c r="A105" s="1">
        <v>46127</v>
      </c>
      <c r="B105" t="s">
        <v>18</v>
      </c>
      <c r="C105" t="s">
        <v>11</v>
      </c>
      <c r="D105" t="s">
        <v>16</v>
      </c>
      <c r="E105" s="2">
        <v>270</v>
      </c>
      <c r="F105" s="4">
        <v>2</v>
      </c>
      <c r="G105" s="2">
        <v>54</v>
      </c>
      <c r="H105" t="str">
        <f>TEXT(Table1[[#This Row],[Date]],"mmm")</f>
        <v>Apr</v>
      </c>
    </row>
    <row r="106" spans="1:8" x14ac:dyDescent="0.25">
      <c r="A106" s="1">
        <v>46128</v>
      </c>
      <c r="B106" t="s">
        <v>19</v>
      </c>
      <c r="C106" t="s">
        <v>8</v>
      </c>
      <c r="D106" t="s">
        <v>9</v>
      </c>
      <c r="E106" s="2">
        <v>160</v>
      </c>
      <c r="F106" s="4">
        <v>4</v>
      </c>
      <c r="G106" s="2">
        <v>48</v>
      </c>
      <c r="H106" t="str">
        <f>TEXT(Table1[[#This Row],[Date]],"mmm")</f>
        <v>Apr</v>
      </c>
    </row>
    <row r="107" spans="1:8" x14ac:dyDescent="0.25">
      <c r="A107" s="1">
        <v>46129</v>
      </c>
      <c r="B107" t="s">
        <v>7</v>
      </c>
      <c r="C107" t="s">
        <v>8</v>
      </c>
      <c r="D107" t="s">
        <v>12</v>
      </c>
      <c r="E107" s="2">
        <v>1280</v>
      </c>
      <c r="F107" s="4">
        <v>3</v>
      </c>
      <c r="G107" s="2">
        <v>320</v>
      </c>
      <c r="H107" t="str">
        <f>TEXT(Table1[[#This Row],[Date]],"mmm")</f>
        <v>Apr</v>
      </c>
    </row>
    <row r="108" spans="1:8" x14ac:dyDescent="0.25">
      <c r="A108" s="1">
        <v>46130</v>
      </c>
      <c r="B108" t="s">
        <v>10</v>
      </c>
      <c r="C108" t="s">
        <v>11</v>
      </c>
      <c r="D108" t="s">
        <v>14</v>
      </c>
      <c r="E108" s="2">
        <v>210</v>
      </c>
      <c r="F108" s="4">
        <v>3</v>
      </c>
      <c r="G108" s="2">
        <v>55</v>
      </c>
      <c r="H108" t="str">
        <f>TEXT(Table1[[#This Row],[Date]],"mmm")</f>
        <v>Apr</v>
      </c>
    </row>
    <row r="109" spans="1:8" x14ac:dyDescent="0.25">
      <c r="A109" s="1">
        <v>46131</v>
      </c>
      <c r="B109" t="s">
        <v>13</v>
      </c>
      <c r="C109" t="s">
        <v>8</v>
      </c>
      <c r="D109" t="s">
        <v>16</v>
      </c>
      <c r="E109" s="2">
        <v>800</v>
      </c>
      <c r="F109" s="4">
        <v>4</v>
      </c>
      <c r="G109" s="2">
        <v>200</v>
      </c>
      <c r="H109" t="str">
        <f>TEXT(Table1[[#This Row],[Date]],"mmm")</f>
        <v>Apr</v>
      </c>
    </row>
    <row r="110" spans="1:8" x14ac:dyDescent="0.25">
      <c r="A110" s="1">
        <v>46132</v>
      </c>
      <c r="B110" t="s">
        <v>15</v>
      </c>
      <c r="C110" t="s">
        <v>11</v>
      </c>
      <c r="D110" t="s">
        <v>9</v>
      </c>
      <c r="E110" s="2">
        <v>590</v>
      </c>
      <c r="F110" s="4">
        <v>2</v>
      </c>
      <c r="G110" s="2">
        <v>120</v>
      </c>
      <c r="H110" t="str">
        <f>TEXT(Table1[[#This Row],[Date]],"mmm")</f>
        <v>Apr</v>
      </c>
    </row>
    <row r="111" spans="1:8" x14ac:dyDescent="0.25">
      <c r="A111" s="1">
        <v>46133</v>
      </c>
      <c r="B111" t="s">
        <v>17</v>
      </c>
      <c r="C111" t="s">
        <v>8</v>
      </c>
      <c r="D111" t="s">
        <v>12</v>
      </c>
      <c r="E111" s="2">
        <v>310</v>
      </c>
      <c r="F111" s="4">
        <v>3</v>
      </c>
      <c r="G111" s="2">
        <v>62</v>
      </c>
      <c r="H111" t="str">
        <f>TEXT(Table1[[#This Row],[Date]],"mmm")</f>
        <v>Apr</v>
      </c>
    </row>
    <row r="112" spans="1:8" x14ac:dyDescent="0.25">
      <c r="A112" s="1">
        <v>46134</v>
      </c>
      <c r="B112" t="s">
        <v>18</v>
      </c>
      <c r="C112" t="s">
        <v>11</v>
      </c>
      <c r="D112" t="s">
        <v>14</v>
      </c>
      <c r="E112" s="2">
        <v>260</v>
      </c>
      <c r="F112" s="4">
        <v>2</v>
      </c>
      <c r="G112" s="2">
        <v>52</v>
      </c>
      <c r="H112" t="str">
        <f>TEXT(Table1[[#This Row],[Date]],"mmm")</f>
        <v>Apr</v>
      </c>
    </row>
    <row r="113" spans="1:8" x14ac:dyDescent="0.25">
      <c r="A113" s="1">
        <v>46135</v>
      </c>
      <c r="B113" t="s">
        <v>19</v>
      </c>
      <c r="C113" t="s">
        <v>8</v>
      </c>
      <c r="D113" t="s">
        <v>16</v>
      </c>
      <c r="E113" s="2">
        <v>170</v>
      </c>
      <c r="F113" s="4">
        <v>4</v>
      </c>
      <c r="G113" s="2">
        <v>51</v>
      </c>
      <c r="H113" t="str">
        <f>TEXT(Table1[[#This Row],[Date]],"mmm")</f>
        <v>Apr</v>
      </c>
    </row>
    <row r="114" spans="1:8" x14ac:dyDescent="0.25">
      <c r="A114" s="1">
        <v>46136</v>
      </c>
      <c r="B114" t="s">
        <v>7</v>
      </c>
      <c r="C114" t="s">
        <v>8</v>
      </c>
      <c r="D114" t="s">
        <v>9</v>
      </c>
      <c r="E114" s="2">
        <v>1250</v>
      </c>
      <c r="F114" s="4">
        <v>3</v>
      </c>
      <c r="G114" s="2">
        <v>310</v>
      </c>
      <c r="H114" t="str">
        <f>TEXT(Table1[[#This Row],[Date]],"mmm")</f>
        <v>Apr</v>
      </c>
    </row>
    <row r="115" spans="1:8" x14ac:dyDescent="0.25">
      <c r="A115" s="1">
        <v>46137</v>
      </c>
      <c r="B115" t="s">
        <v>10</v>
      </c>
      <c r="C115" t="s">
        <v>11</v>
      </c>
      <c r="D115" t="s">
        <v>12</v>
      </c>
      <c r="E115" s="2">
        <v>200</v>
      </c>
      <c r="F115" s="4">
        <v>3</v>
      </c>
      <c r="G115" s="2">
        <v>60</v>
      </c>
      <c r="H115" t="str">
        <f>TEXT(Table1[[#This Row],[Date]],"mmm")</f>
        <v>Apr</v>
      </c>
    </row>
    <row r="116" spans="1:8" x14ac:dyDescent="0.25">
      <c r="A116" s="1">
        <v>46138</v>
      </c>
      <c r="B116" t="s">
        <v>13</v>
      </c>
      <c r="C116" t="s">
        <v>8</v>
      </c>
      <c r="D116" t="s">
        <v>14</v>
      </c>
      <c r="E116" s="2">
        <v>780</v>
      </c>
      <c r="F116" s="4">
        <v>4</v>
      </c>
      <c r="G116" s="2">
        <v>195</v>
      </c>
      <c r="H116" t="str">
        <f>TEXT(Table1[[#This Row],[Date]],"mmm")</f>
        <v>Apr</v>
      </c>
    </row>
    <row r="117" spans="1:8" x14ac:dyDescent="0.25">
      <c r="A117" s="1">
        <v>46139</v>
      </c>
      <c r="B117" t="s">
        <v>15</v>
      </c>
      <c r="C117" t="s">
        <v>11</v>
      </c>
      <c r="D117" t="s">
        <v>16</v>
      </c>
      <c r="E117" s="2">
        <v>600</v>
      </c>
      <c r="F117" s="4">
        <v>2</v>
      </c>
      <c r="G117" s="2">
        <v>125</v>
      </c>
      <c r="H117" t="str">
        <f>TEXT(Table1[[#This Row],[Date]],"mmm")</f>
        <v>Apr</v>
      </c>
    </row>
    <row r="118" spans="1:8" x14ac:dyDescent="0.25">
      <c r="A118" s="1">
        <v>46140</v>
      </c>
      <c r="B118" t="s">
        <v>17</v>
      </c>
      <c r="C118" t="s">
        <v>8</v>
      </c>
      <c r="D118" t="s">
        <v>9</v>
      </c>
      <c r="E118" s="2">
        <v>340</v>
      </c>
      <c r="F118" s="4">
        <v>3</v>
      </c>
      <c r="G118" s="2">
        <v>68</v>
      </c>
      <c r="H118" t="str">
        <f>TEXT(Table1[[#This Row],[Date]],"mmm")</f>
        <v>Apr</v>
      </c>
    </row>
    <row r="119" spans="1:8" x14ac:dyDescent="0.25">
      <c r="A119" s="1">
        <v>46141</v>
      </c>
      <c r="B119" t="s">
        <v>18</v>
      </c>
      <c r="C119" t="s">
        <v>11</v>
      </c>
      <c r="D119" t="s">
        <v>12</v>
      </c>
      <c r="E119" s="2">
        <v>280</v>
      </c>
      <c r="F119" s="4">
        <v>2</v>
      </c>
      <c r="G119" s="2">
        <v>56</v>
      </c>
      <c r="H119" t="str">
        <f>TEXT(Table1[[#This Row],[Date]],"mmm")</f>
        <v>Apr</v>
      </c>
    </row>
    <row r="120" spans="1:8" x14ac:dyDescent="0.25">
      <c r="A120" s="1">
        <v>46142</v>
      </c>
      <c r="B120" t="s">
        <v>19</v>
      </c>
      <c r="C120" t="s">
        <v>8</v>
      </c>
      <c r="D120" t="s">
        <v>14</v>
      </c>
      <c r="E120" s="2">
        <v>150</v>
      </c>
      <c r="F120" s="4">
        <v>5</v>
      </c>
      <c r="G120" s="2">
        <v>45</v>
      </c>
      <c r="H120" t="str">
        <f>TEXT(Table1[[#This Row],[Date]],"mmm")</f>
        <v>Apr</v>
      </c>
    </row>
  </sheetData>
  <conditionalFormatting sqref="E1:E1048576">
    <cfRule type="top10" dxfId="112" priority="5" bottom="1" rank="1"/>
    <cfRule type="top10" dxfId="111" priority="6" rank="1"/>
  </conditionalFormatting>
  <conditionalFormatting sqref="F2:F120">
    <cfRule type="top10" dxfId="110" priority="3" bottom="1" rank="1"/>
    <cfRule type="top10" dxfId="109" priority="4" rank="1"/>
  </conditionalFormatting>
  <conditionalFormatting sqref="G1:G120">
    <cfRule type="top10" dxfId="108" priority="1" bottom="1" rank="1"/>
    <cfRule type="top10" dxfId="107" priority="2" rank="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Duaa Shahid</dc:creator>
  <cp:lastModifiedBy>Duaa Shahid</cp:lastModifiedBy>
  <dcterms:created xsi:type="dcterms:W3CDTF">2026-03-27T17:52:13Z</dcterms:created>
  <dcterms:modified xsi:type="dcterms:W3CDTF">2026-03-29T14:57:38Z</dcterms:modified>
</cp:coreProperties>
</file>